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nreal Projects\ArtisticSW2026\Planning\"/>
    </mc:Choice>
  </mc:AlternateContent>
  <xr:revisionPtr revIDLastSave="0" documentId="13_ncr:1_{40A741A0-03D4-4375-8CAA-37861121CFC9}" xr6:coauthVersionLast="47" xr6:coauthVersionMax="47" xr10:uidLastSave="{00000000-0000-0000-0000-000000000000}"/>
  <bookViews>
    <workbookView xWindow="4890" yWindow="3060" windowWidth="28800" windowHeight="15885" xr2:uid="{00000000-000D-0000-FFFF-FFFF00000000}"/>
  </bookViews>
  <sheets>
    <sheet name="Config" sheetId="1" r:id="rId1"/>
    <sheet name="Character_Growth" sheetId="2" r:id="rId2"/>
    <sheet name="Weapon_Specs" sheetId="3" r:id="rId3"/>
    <sheet name="Dungeon_Monster_Specs" sheetId="4" r:id="rId4"/>
    <sheet name="Boss_Specs" sheetId="5" r:id="rId5"/>
    <sheet name="Combat_Simul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6" l="1"/>
  <c r="M11" i="6"/>
  <c r="M10" i="6"/>
  <c r="M9" i="6"/>
  <c r="M8" i="6"/>
  <c r="M7" i="6"/>
  <c r="M6" i="6"/>
  <c r="M5" i="6"/>
  <c r="M4" i="6"/>
  <c r="M3" i="6"/>
  <c r="Q12" i="6"/>
  <c r="I12" i="6"/>
  <c r="H12" i="6"/>
  <c r="E12" i="6"/>
  <c r="Q11" i="6"/>
  <c r="I11" i="6"/>
  <c r="H11" i="6"/>
  <c r="Q10" i="6"/>
  <c r="P10" i="6"/>
  <c r="J10" i="6"/>
  <c r="I10" i="6"/>
  <c r="H10" i="6"/>
  <c r="Q9" i="6"/>
  <c r="I9" i="6"/>
  <c r="H9" i="6"/>
  <c r="F9" i="6"/>
  <c r="E9" i="6"/>
  <c r="Q8" i="6"/>
  <c r="I8" i="6"/>
  <c r="H8" i="6"/>
  <c r="Q7" i="6"/>
  <c r="P7" i="6"/>
  <c r="J7" i="6"/>
  <c r="I7" i="6"/>
  <c r="H7" i="6"/>
  <c r="Q6" i="6"/>
  <c r="I6" i="6"/>
  <c r="H6" i="6"/>
  <c r="Q5" i="6"/>
  <c r="P5" i="6"/>
  <c r="J5" i="6"/>
  <c r="I5" i="6"/>
  <c r="H5" i="6"/>
  <c r="Q4" i="6"/>
  <c r="I4" i="6"/>
  <c r="H4" i="6"/>
  <c r="F4" i="6"/>
  <c r="E4" i="6"/>
  <c r="Q3" i="6"/>
  <c r="P3" i="6"/>
  <c r="J3" i="6"/>
  <c r="I3" i="6"/>
  <c r="H3" i="6"/>
  <c r="F3" i="6"/>
  <c r="D4" i="5"/>
  <c r="O5" i="6" s="1"/>
  <c r="R5" i="6" s="1"/>
  <c r="T6" i="4"/>
  <c r="S6" i="4"/>
  <c r="P6" i="4"/>
  <c r="Q6" i="4" s="1"/>
  <c r="O6" i="4"/>
  <c r="R6" i="4" s="1"/>
  <c r="N6" i="4"/>
  <c r="M6" i="4"/>
  <c r="I6" i="4"/>
  <c r="T5" i="4"/>
  <c r="S5" i="4"/>
  <c r="P5" i="4"/>
  <c r="Q5" i="4" s="1"/>
  <c r="O5" i="4"/>
  <c r="N5" i="4"/>
  <c r="R5" i="4" s="1"/>
  <c r="M5" i="4"/>
  <c r="I5" i="4"/>
  <c r="T4" i="4"/>
  <c r="Q4" i="4"/>
  <c r="P4" i="4"/>
  <c r="N4" i="4"/>
  <c r="M4" i="4"/>
  <c r="O4" i="4" s="1"/>
  <c r="I4" i="4"/>
  <c r="T3" i="4"/>
  <c r="P3" i="4"/>
  <c r="Q3" i="4" s="1"/>
  <c r="N3" i="4"/>
  <c r="M3" i="4"/>
  <c r="O3" i="4" s="1"/>
  <c r="R3" i="4" s="1"/>
  <c r="I3" i="4"/>
  <c r="D3" i="4"/>
  <c r="D13" i="3"/>
  <c r="C13" i="3"/>
  <c r="D12" i="3"/>
  <c r="C12" i="3"/>
  <c r="D11" i="3"/>
  <c r="C11" i="3"/>
  <c r="E22" i="2"/>
  <c r="D22" i="2"/>
  <c r="G10" i="6" s="1"/>
  <c r="C22" i="2"/>
  <c r="F10" i="6" s="1"/>
  <c r="B22" i="2"/>
  <c r="E10" i="6" s="1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G12" i="6" s="1"/>
  <c r="L12" i="6" s="1"/>
  <c r="C18" i="2"/>
  <c r="F12" i="6" s="1"/>
  <c r="K12" i="6" s="1"/>
  <c r="B18" i="2"/>
  <c r="E17" i="2"/>
  <c r="D17" i="2"/>
  <c r="G7" i="6" s="1"/>
  <c r="C17" i="2"/>
  <c r="F7" i="6" s="1"/>
  <c r="K7" i="6" s="1"/>
  <c r="B17" i="2"/>
  <c r="E7" i="6" s="1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G9" i="6" s="1"/>
  <c r="L9" i="6" s="1"/>
  <c r="C13" i="2"/>
  <c r="B13" i="2"/>
  <c r="E12" i="2"/>
  <c r="D12" i="2"/>
  <c r="G5" i="6" s="1"/>
  <c r="L5" i="6" s="1"/>
  <c r="C12" i="2"/>
  <c r="F5" i="6" s="1"/>
  <c r="B12" i="2"/>
  <c r="E5" i="6" s="1"/>
  <c r="T5" i="6" s="1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G6" i="6" s="1"/>
  <c r="L6" i="6" s="1"/>
  <c r="C8" i="2"/>
  <c r="F6" i="6" s="1"/>
  <c r="B8" i="2"/>
  <c r="E6" i="6" s="1"/>
  <c r="E7" i="2"/>
  <c r="D7" i="2"/>
  <c r="G3" i="6" s="1"/>
  <c r="C7" i="2"/>
  <c r="B7" i="2"/>
  <c r="D3" i="5" s="1"/>
  <c r="E6" i="2"/>
  <c r="D6" i="2"/>
  <c r="C6" i="2"/>
  <c r="B6" i="2"/>
  <c r="E5" i="2"/>
  <c r="D5" i="2"/>
  <c r="C5" i="2"/>
  <c r="B5" i="2"/>
  <c r="E4" i="2"/>
  <c r="D4" i="2"/>
  <c r="C4" i="2"/>
  <c r="B4" i="2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E3" i="2"/>
  <c r="D3" i="2"/>
  <c r="G4" i="6" s="1"/>
  <c r="C3" i="2"/>
  <c r="B3" i="2"/>
  <c r="K3" i="6" l="1"/>
  <c r="K6" i="6"/>
  <c r="L4" i="6"/>
  <c r="K5" i="6"/>
  <c r="K10" i="6"/>
  <c r="L3" i="6"/>
  <c r="L10" i="6"/>
  <c r="K9" i="6"/>
  <c r="L7" i="6"/>
  <c r="K4" i="6"/>
  <c r="G11" i="6"/>
  <c r="L11" i="6" s="1"/>
  <c r="C3" i="4"/>
  <c r="C5" i="5"/>
  <c r="N8" i="6" s="1"/>
  <c r="R4" i="4"/>
  <c r="O3" i="6"/>
  <c r="R3" i="6" s="1"/>
  <c r="O4" i="6"/>
  <c r="R4" i="6" s="1"/>
  <c r="T4" i="6" s="1"/>
  <c r="F3" i="5"/>
  <c r="C3" i="5"/>
  <c r="E3" i="6"/>
  <c r="O6" i="6"/>
  <c r="R6" i="6" s="1"/>
  <c r="T6" i="6" s="1"/>
  <c r="C5" i="4"/>
  <c r="D6" i="4"/>
  <c r="E8" i="6"/>
  <c r="C6" i="4"/>
  <c r="D5" i="4"/>
  <c r="C4" i="5"/>
  <c r="F8" i="6"/>
  <c r="K8" i="6" s="1"/>
  <c r="C4" i="4"/>
  <c r="G8" i="6"/>
  <c r="L8" i="6" s="1"/>
  <c r="E11" i="6"/>
  <c r="D4" i="4"/>
  <c r="F4" i="5"/>
  <c r="F11" i="6"/>
  <c r="K11" i="6" s="1"/>
  <c r="D5" i="5"/>
  <c r="D6" i="5"/>
  <c r="C6" i="5"/>
  <c r="S8" i="6" l="1"/>
  <c r="N9" i="6"/>
  <c r="S9" i="6" s="1"/>
  <c r="N7" i="6"/>
  <c r="S7" i="6" s="1"/>
  <c r="N10" i="6"/>
  <c r="S10" i="6" s="1"/>
  <c r="N12" i="6"/>
  <c r="S12" i="6" s="1"/>
  <c r="N11" i="6"/>
  <c r="S11" i="6" s="1"/>
  <c r="N5" i="6"/>
  <c r="S5" i="6" s="1"/>
  <c r="U5" i="6" s="1"/>
  <c r="V5" i="6" s="1"/>
  <c r="N6" i="6"/>
  <c r="S6" i="6" s="1"/>
  <c r="U6" i="6" s="1"/>
  <c r="V6" i="6" s="1"/>
  <c r="F6" i="5"/>
  <c r="O10" i="6"/>
  <c r="R10" i="6" s="1"/>
  <c r="T10" i="6" s="1"/>
  <c r="U10" i="6" s="1"/>
  <c r="V10" i="6" s="1"/>
  <c r="O12" i="6"/>
  <c r="R12" i="6" s="1"/>
  <c r="T12" i="6" s="1"/>
  <c r="U12" i="6" s="1"/>
  <c r="V12" i="6" s="1"/>
  <c r="O11" i="6"/>
  <c r="R11" i="6" s="1"/>
  <c r="T11" i="6" s="1"/>
  <c r="O8" i="6"/>
  <c r="R8" i="6" s="1"/>
  <c r="T8" i="6" s="1"/>
  <c r="U8" i="6" s="1"/>
  <c r="V8" i="6" s="1"/>
  <c r="F5" i="5"/>
  <c r="O7" i="6"/>
  <c r="R7" i="6" s="1"/>
  <c r="T7" i="6" s="1"/>
  <c r="O9" i="6"/>
  <c r="R9" i="6" s="1"/>
  <c r="T9" i="6" s="1"/>
  <c r="U9" i="6" s="1"/>
  <c r="V9" i="6" s="1"/>
  <c r="T3" i="6"/>
  <c r="N3" i="6"/>
  <c r="S3" i="6" s="1"/>
  <c r="N4" i="6"/>
  <c r="S4" i="6" s="1"/>
  <c r="U4" i="6" s="1"/>
  <c r="V4" i="6" s="1"/>
  <c r="U7" i="6" l="1"/>
  <c r="V7" i="6" s="1"/>
  <c r="U11" i="6"/>
  <c r="V11" i="6" s="1"/>
  <c r="U3" i="6"/>
  <c r="V3" i="6" s="1"/>
</calcChain>
</file>

<file path=xl/sharedStrings.xml><?xml version="1.0" encoding="utf-8"?>
<sst xmlns="http://schemas.openxmlformats.org/spreadsheetml/2006/main" count="278" uniqueCount="196">
  <si>
    <t>설정 항목 (Key)</t>
  </si>
  <si>
    <t>설정 수치 (Value)</t>
  </si>
  <si>
    <t>비고 및 설명</t>
  </si>
  <si>
    <t>Target_Dungeon_Runs</t>
  </si>
  <si>
    <t>각 구간별 평균 보스 도전을 위한 권장 던전 반복 횟수 (예: 5 또는 6)</t>
  </si>
  <si>
    <t>Target_TDD_TTK_Ratio_Easy</t>
  </si>
  <si>
    <t>Target_TDD_TTK_Ratio_Hard</t>
  </si>
  <si>
    <t>XP_Base_Multiplier</t>
  </si>
  <si>
    <t>레벨업 경험치 계산 기본 계수</t>
  </si>
  <si>
    <t>XP_Exponent</t>
  </si>
  <si>
    <t>레벨업 경험치 곡선 지수</t>
  </si>
  <si>
    <t>Player_HP_Growth</t>
  </si>
  <si>
    <t>레벨당 캐릭터 최대 체력 상승치</t>
  </si>
  <si>
    <t>Player_ATK_Growth</t>
  </si>
  <si>
    <t>레벨당 캐릭터 공격력 상승치</t>
  </si>
  <si>
    <t>Player_AS_Growth</t>
  </si>
  <si>
    <t>레벨당 캐릭터 공격속도 상승치</t>
  </si>
  <si>
    <t>Dungeon_Target_TTK</t>
  </si>
  <si>
    <t>평이한 난이도 기준 보스 처치 타겟 시간 (초)</t>
  </si>
  <si>
    <t>Dungeon_Target_TDD</t>
  </si>
  <si>
    <t>평이한 난이도 기준 플레이어 생존 타겟 시간 (초)</t>
  </si>
  <si>
    <t>Monster_Target_TTK</t>
  </si>
  <si>
    <t>일반 몬스터 1마리당 목표 처치 시간 (초)</t>
  </si>
  <si>
    <t>Monster_Target_HP_Loss_Ratio</t>
  </si>
  <si>
    <t>몬스터 1마리 처치 시 캐릭터 목표 최대체력 손실 비율 (기본 1.5%)</t>
  </si>
  <si>
    <t>Potion_Cooldown</t>
  </si>
  <si>
    <t>체력 회복 포션 사용 쿨타임 (초)</t>
  </si>
  <si>
    <t>Potion_Boss_Use_Count</t>
  </si>
  <si>
    <t>평이한 보스전 시 포션 복용 횟수 기댓값 (회)</t>
  </si>
  <si>
    <t>Potion_2_Recover_Ratio</t>
  </si>
  <si>
    <t>2단계 포션 최대체력 회복률 (하급 보스전용)</t>
  </si>
  <si>
    <t>Potion_3_Recover_Ratio</t>
  </si>
  <si>
    <t>3단계 포션 최대체력 회복률 (중급 보스전용)</t>
  </si>
  <si>
    <t>Potion_4_Recover_Ratio</t>
  </si>
  <si>
    <t>4단계 포션 최대체력 회복률 (상급 및 최종 보스전용)</t>
  </si>
  <si>
    <t>캐릭터 레벨 성장 및 능력치 테이블</t>
  </si>
  <si>
    <t>레벨</t>
  </si>
  <si>
    <t>체력(HP)</t>
  </si>
  <si>
    <t>공격력(ATK)</t>
  </si>
  <si>
    <t>공격속도(AS)</t>
  </si>
  <si>
    <t>요구경험치(XP)</t>
  </si>
  <si>
    <t>누적경험치</t>
  </si>
  <si>
    <t>구간별 평균 획득처</t>
  </si>
  <si>
    <t>도달 기준</t>
  </si>
  <si>
    <t>하급던전</t>
  </si>
  <si>
    <t>하급보스 도전 준비</t>
  </si>
  <si>
    <t>하급보스 처치</t>
  </si>
  <si>
    <t>즉시 6레벨업 보상</t>
  </si>
  <si>
    <t>중급던전</t>
  </si>
  <si>
    <t>중급보스 도전 준비</t>
  </si>
  <si>
    <t>중급보스 처치</t>
  </si>
  <si>
    <t>즉시 11레벨업 보상</t>
  </si>
  <si>
    <t>상급던전</t>
  </si>
  <si>
    <t>상급보스 도전 준비</t>
  </si>
  <si>
    <t>상급보스 처치</t>
  </si>
  <si>
    <t>즉시 16레벨업 보상</t>
  </si>
  <si>
    <t>최상급던전</t>
  </si>
  <si>
    <t>최종보스 도전 준비</t>
  </si>
  <si>
    <t>최종보스 공략완료</t>
  </si>
  <si>
    <t>최종 스펙 만렙</t>
  </si>
  <si>
    <t>단계별 무기 스탯 및 다원화 제작법 명세</t>
  </si>
  <si>
    <t>등급</t>
  </si>
  <si>
    <t>무기명</t>
  </si>
  <si>
    <t>획득 방식</t>
  </si>
  <si>
    <t>필요 재료 1</t>
  </si>
  <si>
    <t>수량 1</t>
  </si>
  <si>
    <t>필요 재료 2</t>
  </si>
  <si>
    <t>수량 2</t>
  </si>
  <si>
    <t>조합서 드롭확률</t>
  </si>
  <si>
    <t>1등급</t>
  </si>
  <si>
    <t>하급 철단검</t>
  </si>
  <si>
    <t>해당 없음</t>
  </si>
  <si>
    <t>-</t>
  </si>
  <si>
    <t>2등급</t>
  </si>
  <si>
    <t>정련된 강철검</t>
  </si>
  <si>
    <t>3등급</t>
  </si>
  <si>
    <t>마력 깃든 기사검</t>
  </si>
  <si>
    <t>4등급</t>
  </si>
  <si>
    <t>아다만티움 그레이트소드</t>
  </si>
  <si>
    <t>3등급 재료(미스릴 원석)</t>
  </si>
  <si>
    <t>4등급 재료(아다만티움 원석)</t>
  </si>
  <si>
    <t>5등급</t>
  </si>
  <si>
    <t>드래곤 슬레이어</t>
  </si>
  <si>
    <t>5등급 재료(드래곤 뼈)</t>
  </si>
  <si>
    <t>체력 회복 포션 스펙 및 소모품 제작 레시피</t>
  </si>
  <si>
    <t>소모품등급</t>
  </si>
  <si>
    <t>포션 명칭</t>
  </si>
  <si>
    <t>체력 회복량</t>
  </si>
  <si>
    <t>재사용 대기시간</t>
  </si>
  <si>
    <t>획득 유형</t>
  </si>
  <si>
    <t>조합서 필요여부</t>
  </si>
  <si>
    <t>2단계</t>
  </si>
  <si>
    <t>하급 생명력 포션</t>
  </si>
  <si>
    <t>1등급 재료(동광석)</t>
  </si>
  <si>
    <t>2등급 재료(철광석)</t>
  </si>
  <si>
    <t>불필요</t>
  </si>
  <si>
    <t>3단계</t>
  </si>
  <si>
    <t>중급 생명력 포션</t>
  </si>
  <si>
    <t>4단계</t>
  </si>
  <si>
    <t>상급 생명력 포션</t>
  </si>
  <si>
    <t>던전별 일반 몬스터 사양, 재료 및 포션/조합서 획득 기댓값 테이블</t>
  </si>
  <si>
    <t>던전명</t>
  </si>
  <si>
    <t>일반몹 이름</t>
  </si>
  <si>
    <t>몹마리당 XP</t>
  </si>
  <si>
    <t>던전클리어 XP</t>
  </si>
  <si>
    <t>판당 XP 기댓값</t>
  </si>
  <si>
    <t>재료 1 명칭</t>
  </si>
  <si>
    <t>재료 1 드롭확률</t>
  </si>
  <si>
    <t>재료 2 명칭</t>
  </si>
  <si>
    <t>재료 2 드롭확률</t>
  </si>
  <si>
    <t>판당 재료1 기댓값</t>
  </si>
  <si>
    <t>판당 재료2 기댓값</t>
  </si>
  <si>
    <t>포션 완제품 드롭확률</t>
  </si>
  <si>
    <t>판당 완제품 포션 기댓값</t>
  </si>
  <si>
    <t>판당 재료기반 제작가능 포션</t>
  </si>
  <si>
    <t>무기 조합서 드롭확률</t>
  </si>
  <si>
    <t>판당 조합서 기댓값</t>
  </si>
  <si>
    <t>하급 고블린</t>
  </si>
  <si>
    <t>중급 오크 전사</t>
  </si>
  <si>
    <t>상급 가고일 파수꾼</t>
  </si>
  <si>
    <t>최상급 리치 사령관</t>
  </si>
  <si>
    <t>보스 몬스터 상세 스탯 (독립 수식 연동 - 순환 참조 없음)</t>
  </si>
  <si>
    <t>보스 구분</t>
  </si>
  <si>
    <t>보스 이름</t>
  </si>
  <si>
    <t>초당피해(DPS)</t>
  </si>
  <si>
    <t>보스처치 XP 보상</t>
  </si>
  <si>
    <t>처치시 대량 재료 보상</t>
  </si>
  <si>
    <t>족장 우르크그릴</t>
  </si>
  <si>
    <t>3등급 재료 5개</t>
  </si>
  <si>
    <t>지옥 바위 골렘</t>
  </si>
  <si>
    <t>4등급 재료 5개</t>
  </si>
  <si>
    <t>파멸의 그림자 드래곤</t>
  </si>
  <si>
    <t>5등급 재료 5개</t>
  </si>
  <si>
    <t>최종보스</t>
  </si>
  <si>
    <t>심연의 군주 아스모데우스</t>
  </si>
  <si>
    <t>최종 클리어 훈장 1개</t>
  </si>
  <si>
    <t>보스전 난이도 전투 시뮬레이터 (포션 생존 보정 연동)</t>
  </si>
  <si>
    <t>보스전 구분</t>
  </si>
  <si>
    <t>도전 상황</t>
  </si>
  <si>
    <t>도전자 레벨</t>
  </si>
  <si>
    <t>장착 무기</t>
  </si>
  <si>
    <t>플레이어 HP</t>
  </si>
  <si>
    <t>플레이어 ATK</t>
  </si>
  <si>
    <t>플레이어 AS</t>
  </si>
  <si>
    <t>무기 추가 ATK</t>
  </si>
  <si>
    <t>무기 추가 AS</t>
  </si>
  <si>
    <t>목표 TTK(초)</t>
  </si>
  <si>
    <t>플레이어합산ATK</t>
  </si>
  <si>
    <t>플레이어합산AS</t>
  </si>
  <si>
    <t>플레이어 DPS</t>
  </si>
  <si>
    <t>보스 HP</t>
  </si>
  <si>
    <t>보스 ATK</t>
  </si>
  <si>
    <t>목표 TDD(초)</t>
  </si>
  <si>
    <t>보스 AS</t>
  </si>
  <si>
    <t>보스 DPS</t>
  </si>
  <si>
    <t>실제 TTK</t>
  </si>
  <si>
    <t>실제 TDD(물약보정)</t>
  </si>
  <si>
    <t>생존비율(TDD/TTK)</t>
  </si>
  <si>
    <t>난이도 평가</t>
  </si>
  <si>
    <t>하급 보스전</t>
  </si>
  <si>
    <t>평이한 도전</t>
  </si>
  <si>
    <t>무반복 즉시 도전</t>
  </si>
  <si>
    <t>중급 보스전</t>
  </si>
  <si>
    <t>상급 보스전</t>
  </si>
  <si>
    <t>조합서 미획득 도전</t>
  </si>
  <si>
    <t>최종 보스전</t>
  </si>
  <si>
    <t>Balancing Config</t>
    <phoneticPr fontId="5" type="noConversion"/>
  </si>
  <si>
    <t>던전 1 &gt; 중간 보스 1 &gt; 던전 2 &gt; 중간 보스 2 … 의 방식으로 진행됩니다.</t>
    <phoneticPr fontId="5" type="noConversion"/>
  </si>
  <si>
    <t>던전은 포탈 등을 통해 들어가는 던전이 아닌 단순히 중간 보스 전에 탐험 할 곳으로 기대되는 파밍 지역 일대입니다.</t>
    <phoneticPr fontId="5" type="noConversion"/>
  </si>
  <si>
    <t>TDD란 보스에게 가만히 서서 맞을 경우 죽을 때까지 걸리는 시간입니다.</t>
    <phoneticPr fontId="5" type="noConversion"/>
  </si>
  <si>
    <t>TTK란 보스를 쉬지 않고 때릴 경우 처치하는데 걸리는 시간입니다.</t>
    <phoneticPr fontId="5" type="noConversion"/>
  </si>
  <si>
    <t>적정 스펙을 맞추고 보스 도전시 TDD/TTK 비율. 2인이므로 절반으로 보면된다. (60%)</t>
    <phoneticPr fontId="5" type="noConversion"/>
  </si>
  <si>
    <t>이전 보스 이후 바로 다음 보스 도전시 TDD/TTK 비율. 못 깨는 것을 상정</t>
    <phoneticPr fontId="5" type="noConversion"/>
  </si>
  <si>
    <t>기본 지급</t>
    <phoneticPr fontId="5" type="noConversion"/>
  </si>
  <si>
    <t>던전 1 확률 드롭</t>
    <phoneticPr fontId="5" type="noConversion"/>
  </si>
  <si>
    <t>던전 2 확률 드롭</t>
    <phoneticPr fontId="5" type="noConversion"/>
  </si>
  <si>
    <t>던전 1, 2 확률 드롭 / 제작</t>
    <phoneticPr fontId="5" type="noConversion"/>
  </si>
  <si>
    <t>던전 2, 3 확률 드롭 / 제작</t>
    <phoneticPr fontId="5" type="noConversion"/>
  </si>
  <si>
    <t>던전 3, 4 확률 드롭 / 제작</t>
    <phoneticPr fontId="5" type="noConversion"/>
  </si>
  <si>
    <t>던전 3 재료 및 조합서 확률 드롭</t>
    <phoneticPr fontId="5" type="noConversion"/>
  </si>
  <si>
    <t>던전 4 재료 및 조합서 확률 드롭</t>
    <phoneticPr fontId="5" type="noConversion"/>
  </si>
  <si>
    <t>던전 1</t>
    <phoneticPr fontId="5" type="noConversion"/>
  </si>
  <si>
    <t>던전 2</t>
    <phoneticPr fontId="5" type="noConversion"/>
  </si>
  <si>
    <t>던전 3</t>
    <phoneticPr fontId="5" type="noConversion"/>
  </si>
  <si>
    <t>던전 4</t>
    <phoneticPr fontId="5" type="noConversion"/>
  </si>
  <si>
    <t>1회 마릿수</t>
    <phoneticPr fontId="5" type="noConversion"/>
  </si>
  <si>
    <t>1등급</t>
    <phoneticPr fontId="5" type="noConversion"/>
  </si>
  <si>
    <t>2등급</t>
    <phoneticPr fontId="5" type="noConversion"/>
  </si>
  <si>
    <t>3등급</t>
    <phoneticPr fontId="5" type="noConversion"/>
  </si>
  <si>
    <t>4등급</t>
    <phoneticPr fontId="5" type="noConversion"/>
  </si>
  <si>
    <t>5등급</t>
    <phoneticPr fontId="5" type="noConversion"/>
  </si>
  <si>
    <t>중간보스 1</t>
    <phoneticPr fontId="5" type="noConversion"/>
  </si>
  <si>
    <t>중간보스 2</t>
    <phoneticPr fontId="5" type="noConversion"/>
  </si>
  <si>
    <t>중간보스 3</t>
    <phoneticPr fontId="5" type="noConversion"/>
  </si>
  <si>
    <t>여기나온 수치들은 참고용 입니다. 실제 플레이 테스트가 필요합니다.</t>
    <phoneticPr fontId="5" type="noConversion"/>
  </si>
  <si>
    <t>배 전투는 고려되지 않았습니다.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</si>
</sst>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6">
    <font>
      <sz val="11"/>
      <color theme="1"/>
      <name val="맑은 고딕"/>
      <family val="2"/>
      <scheme val="minor"/>
    </font>
    <font>
      <b/>
      <sz val="14"/>
      <color rgb="FFFFFF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 vertical="center"/>
    </xf>
    <xf numFmtId="10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177" fontId="3" fillId="4" borderId="1" xfId="0" applyNumberFormat="1" applyFont="1" applyFill="1" applyBorder="1" applyAlignment="1">
      <alignment horizontal="right" vertical="center"/>
    </xf>
    <xf numFmtId="177" fontId="0" fillId="4" borderId="1" xfId="0" applyNumberForma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177" fontId="3" fillId="5" borderId="1" xfId="0" applyNumberFormat="1" applyFon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177" fontId="3" fillId="6" borderId="1" xfId="0" applyNumberFormat="1" applyFont="1" applyFill="1" applyBorder="1" applyAlignment="1">
      <alignment horizontal="right" vertical="center"/>
    </xf>
    <xf numFmtId="177" fontId="0" fillId="6" borderId="1" xfId="0" applyNumberFormat="1" applyFill="1" applyBorder="1" applyAlignment="1">
      <alignment horizontal="right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6" sqref="C26"/>
    </sheetView>
  </sheetViews>
  <sheetFormatPr defaultRowHeight="16.5"/>
  <cols>
    <col min="1" max="1" width="30" customWidth="1"/>
    <col min="2" max="2" width="20" customWidth="1"/>
    <col min="3" max="3" width="72.75" customWidth="1"/>
  </cols>
  <sheetData>
    <row r="1" spans="1:3" ht="39.950000000000003" customHeight="1">
      <c r="A1" s="52" t="s">
        <v>166</v>
      </c>
      <c r="B1" s="53"/>
      <c r="C1" s="53"/>
    </row>
    <row r="2" spans="1:3" ht="24.95" customHeight="1">
      <c r="A2" s="1" t="s">
        <v>0</v>
      </c>
      <c r="B2" s="1" t="s">
        <v>1</v>
      </c>
      <c r="C2" s="1" t="s">
        <v>2</v>
      </c>
    </row>
    <row r="3" spans="1:3" ht="20.100000000000001" customHeight="1">
      <c r="A3" s="2" t="s">
        <v>3</v>
      </c>
      <c r="B3" s="3">
        <v>5</v>
      </c>
      <c r="C3" s="4" t="s">
        <v>4</v>
      </c>
    </row>
    <row r="4" spans="1:3" ht="20.100000000000001" customHeight="1">
      <c r="A4" s="2" t="s">
        <v>5</v>
      </c>
      <c r="B4" s="5">
        <v>1.2</v>
      </c>
      <c r="C4" s="4" t="s">
        <v>171</v>
      </c>
    </row>
    <row r="5" spans="1:3" ht="20.100000000000001" customHeight="1">
      <c r="A5" s="2" t="s">
        <v>6</v>
      </c>
      <c r="B5" s="5">
        <v>0.2</v>
      </c>
      <c r="C5" s="4" t="s">
        <v>172</v>
      </c>
    </row>
    <row r="6" spans="1:3" ht="20.100000000000001" customHeight="1">
      <c r="A6" s="2" t="s">
        <v>7</v>
      </c>
      <c r="B6" s="3">
        <v>100</v>
      </c>
      <c r="C6" s="4" t="s">
        <v>8</v>
      </c>
    </row>
    <row r="7" spans="1:3" ht="20.100000000000001" customHeight="1">
      <c r="A7" s="2" t="s">
        <v>9</v>
      </c>
      <c r="B7" s="3">
        <v>1.5</v>
      </c>
      <c r="C7" s="4" t="s">
        <v>10</v>
      </c>
    </row>
    <row r="8" spans="1:3" ht="20.100000000000001" customHeight="1">
      <c r="A8" s="2" t="s">
        <v>11</v>
      </c>
      <c r="B8" s="3">
        <v>40</v>
      </c>
      <c r="C8" s="4" t="s">
        <v>12</v>
      </c>
    </row>
    <row r="9" spans="1:3" ht="20.100000000000001" customHeight="1">
      <c r="A9" s="2" t="s">
        <v>13</v>
      </c>
      <c r="B9" s="3">
        <v>3</v>
      </c>
      <c r="C9" s="4" t="s">
        <v>14</v>
      </c>
    </row>
    <row r="10" spans="1:3" ht="20.100000000000001" customHeight="1">
      <c r="A10" s="2" t="s">
        <v>15</v>
      </c>
      <c r="B10" s="3">
        <v>0.03</v>
      </c>
      <c r="C10" s="4" t="s">
        <v>16</v>
      </c>
    </row>
    <row r="11" spans="1:3" ht="20.100000000000001" customHeight="1">
      <c r="A11" s="2" t="s">
        <v>17</v>
      </c>
      <c r="B11" s="3">
        <v>30</v>
      </c>
      <c r="C11" s="4" t="s">
        <v>18</v>
      </c>
    </row>
    <row r="12" spans="1:3" ht="20.100000000000001" customHeight="1">
      <c r="A12" s="2" t="s">
        <v>19</v>
      </c>
      <c r="B12" s="3">
        <v>20</v>
      </c>
      <c r="C12" s="4" t="s">
        <v>20</v>
      </c>
    </row>
    <row r="13" spans="1:3" ht="20.100000000000001" customHeight="1">
      <c r="A13" s="2" t="s">
        <v>21</v>
      </c>
      <c r="B13" s="3">
        <v>4</v>
      </c>
      <c r="C13" s="4" t="s">
        <v>22</v>
      </c>
    </row>
    <row r="14" spans="1:3" ht="20.100000000000001" customHeight="1">
      <c r="A14" s="2" t="s">
        <v>23</v>
      </c>
      <c r="B14" s="5">
        <v>1.4999999999999999E-2</v>
      </c>
      <c r="C14" s="4" t="s">
        <v>24</v>
      </c>
    </row>
    <row r="15" spans="1:3" ht="20.100000000000001" customHeight="1">
      <c r="A15" s="2" t="s">
        <v>25</v>
      </c>
      <c r="B15" s="3">
        <v>10</v>
      </c>
      <c r="C15" s="4" t="s">
        <v>26</v>
      </c>
    </row>
    <row r="16" spans="1:3" ht="20.100000000000001" customHeight="1">
      <c r="A16" s="2" t="s">
        <v>27</v>
      </c>
      <c r="B16" s="3">
        <v>3</v>
      </c>
      <c r="C16" s="4" t="s">
        <v>28</v>
      </c>
    </row>
    <row r="17" spans="1:3" ht="20.100000000000001" customHeight="1">
      <c r="A17" s="2" t="s">
        <v>29</v>
      </c>
      <c r="B17" s="5">
        <v>0.2</v>
      </c>
      <c r="C17" s="4" t="s">
        <v>30</v>
      </c>
    </row>
    <row r="18" spans="1:3" ht="20.100000000000001" customHeight="1">
      <c r="A18" s="2" t="s">
        <v>31</v>
      </c>
      <c r="B18" s="5">
        <v>0.4</v>
      </c>
      <c r="C18" s="4" t="s">
        <v>32</v>
      </c>
    </row>
    <row r="19" spans="1:3" ht="20.100000000000001" customHeight="1">
      <c r="A19" s="2" t="s">
        <v>33</v>
      </c>
      <c r="B19" s="5">
        <v>0.6</v>
      </c>
      <c r="C19" s="4" t="s">
        <v>34</v>
      </c>
    </row>
    <row r="21" spans="1:3">
      <c r="A21" s="55" t="s">
        <v>167</v>
      </c>
    </row>
    <row r="22" spans="1:3">
      <c r="A22" s="55" t="s">
        <v>168</v>
      </c>
    </row>
    <row r="24" spans="1:3">
      <c r="A24" s="55" t="s">
        <v>169</v>
      </c>
    </row>
    <row r="25" spans="1:3">
      <c r="A25" s="55" t="s">
        <v>170</v>
      </c>
    </row>
    <row r="27" spans="1:3">
      <c r="A27" s="55" t="s">
        <v>194</v>
      </c>
    </row>
    <row r="28" spans="1:3">
      <c r="A28" s="55" t="s">
        <v>195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B14" sqref="B14"/>
    </sheetView>
  </sheetViews>
  <sheetFormatPr defaultRowHeight="16.5"/>
  <cols>
    <col min="1" max="1" width="50" customWidth="1"/>
    <col min="2" max="2" width="27" customWidth="1"/>
    <col min="3" max="4" width="26" customWidth="1"/>
    <col min="5" max="5" width="51" customWidth="1"/>
    <col min="6" max="6" width="23" customWidth="1"/>
    <col min="7" max="8" width="29" customWidth="1"/>
  </cols>
  <sheetData>
    <row r="1" spans="1:8" ht="39.950000000000003" customHeight="1">
      <c r="A1" s="52" t="s">
        <v>35</v>
      </c>
      <c r="B1" s="53"/>
      <c r="C1" s="53"/>
      <c r="D1" s="53"/>
      <c r="E1" s="53"/>
      <c r="F1" s="53"/>
      <c r="G1" s="53"/>
      <c r="H1" s="53"/>
    </row>
    <row r="2" spans="1:8" ht="24.95" customHeight="1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</row>
    <row r="3" spans="1:8" ht="20.100000000000001" customHeight="1">
      <c r="A3" s="6">
        <v>1</v>
      </c>
      <c r="B3" s="7">
        <f>100+Config!$B$8*(A3-1)</f>
        <v>100</v>
      </c>
      <c r="C3" s="7">
        <f>10+Config!$B$9*(A3-1)</f>
        <v>10</v>
      </c>
      <c r="D3" s="8">
        <f>1+Config!$B$10*(A3-1)</f>
        <v>1</v>
      </c>
      <c r="E3" s="9">
        <f>IF(A3=20,0,INT(Config!$B$6*(A3^Config!$B$7)))</f>
        <v>100</v>
      </c>
      <c r="F3" s="9">
        <f t="shared" ref="F3:F22" si="0">IF(A3=1,0,F2+E2)</f>
        <v>0</v>
      </c>
      <c r="G3" s="7" t="s">
        <v>44</v>
      </c>
      <c r="H3" s="10" t="s">
        <v>45</v>
      </c>
    </row>
    <row r="4" spans="1:8" ht="20.100000000000001" customHeight="1">
      <c r="A4" s="6">
        <v>2</v>
      </c>
      <c r="B4" s="7">
        <f>100+Config!$B$8*(A4-1)</f>
        <v>140</v>
      </c>
      <c r="C4" s="7">
        <f>10+Config!$B$9*(A4-1)</f>
        <v>13</v>
      </c>
      <c r="D4" s="8">
        <f>1+Config!$B$10*(A4-1)</f>
        <v>1.03</v>
      </c>
      <c r="E4" s="9">
        <f>IF(A4=20,0,INT(Config!$B$6*(A4^Config!$B$7)))</f>
        <v>282</v>
      </c>
      <c r="F4" s="9">
        <f t="shared" si="0"/>
        <v>100</v>
      </c>
      <c r="G4" s="7" t="s">
        <v>44</v>
      </c>
      <c r="H4" s="10" t="s">
        <v>45</v>
      </c>
    </row>
    <row r="5" spans="1:8" ht="20.100000000000001" customHeight="1">
      <c r="A5" s="6">
        <v>3</v>
      </c>
      <c r="B5" s="7">
        <f>100+Config!$B$8*(A5-1)</f>
        <v>180</v>
      </c>
      <c r="C5" s="7">
        <f>10+Config!$B$9*(A5-1)</f>
        <v>16</v>
      </c>
      <c r="D5" s="8">
        <f>1+Config!$B$10*(A5-1)</f>
        <v>1.06</v>
      </c>
      <c r="E5" s="9">
        <f>IF(A5=20,0,INT(Config!$B$6*(A5^Config!$B$7)))</f>
        <v>519</v>
      </c>
      <c r="F5" s="9">
        <f t="shared" si="0"/>
        <v>382</v>
      </c>
      <c r="G5" s="7" t="s">
        <v>44</v>
      </c>
      <c r="H5" s="10" t="s">
        <v>45</v>
      </c>
    </row>
    <row r="6" spans="1:8" ht="20.100000000000001" customHeight="1">
      <c r="A6" s="6">
        <v>4</v>
      </c>
      <c r="B6" s="7">
        <f>100+Config!$B$8*(A6-1)</f>
        <v>220</v>
      </c>
      <c r="C6" s="7">
        <f>10+Config!$B$9*(A6-1)</f>
        <v>19</v>
      </c>
      <c r="D6" s="8">
        <f>1+Config!$B$10*(A6-1)</f>
        <v>1.0900000000000001</v>
      </c>
      <c r="E6" s="9">
        <f>IF(A6=20,0,INT(Config!$B$6*(A6^Config!$B$7)))</f>
        <v>800</v>
      </c>
      <c r="F6" s="9">
        <f t="shared" si="0"/>
        <v>901</v>
      </c>
      <c r="G6" s="7" t="s">
        <v>44</v>
      </c>
      <c r="H6" s="10" t="s">
        <v>45</v>
      </c>
    </row>
    <row r="7" spans="1:8" ht="20.100000000000001" customHeight="1">
      <c r="A7" s="6">
        <v>5</v>
      </c>
      <c r="B7" s="7">
        <f>100+Config!$B$8*(A7-1)</f>
        <v>260</v>
      </c>
      <c r="C7" s="7">
        <f>10+Config!$B$9*(A7-1)</f>
        <v>22</v>
      </c>
      <c r="D7" s="8">
        <f>1+Config!$B$10*(A7-1)</f>
        <v>1.1200000000000001</v>
      </c>
      <c r="E7" s="9">
        <f>IF(A7=20,0,INT(Config!$B$6*(A7^Config!$B$7)))</f>
        <v>1118</v>
      </c>
      <c r="F7" s="9">
        <f t="shared" si="0"/>
        <v>1701</v>
      </c>
      <c r="G7" s="7" t="s">
        <v>46</v>
      </c>
      <c r="H7" s="10" t="s">
        <v>47</v>
      </c>
    </row>
    <row r="8" spans="1:8" ht="20.100000000000001" customHeight="1">
      <c r="A8" s="6">
        <v>6</v>
      </c>
      <c r="B8" s="7">
        <f>100+Config!$B$8*(A8-1)</f>
        <v>300</v>
      </c>
      <c r="C8" s="7">
        <f>10+Config!$B$9*(A8-1)</f>
        <v>25</v>
      </c>
      <c r="D8" s="8">
        <f>1+Config!$B$10*(A8-1)</f>
        <v>1.1499999999999999</v>
      </c>
      <c r="E8" s="9">
        <f>IF(A8=20,0,INT(Config!$B$6*(A8^Config!$B$7)))</f>
        <v>1469</v>
      </c>
      <c r="F8" s="9">
        <f t="shared" si="0"/>
        <v>2819</v>
      </c>
      <c r="G8" s="7" t="s">
        <v>48</v>
      </c>
      <c r="H8" s="10" t="s">
        <v>49</v>
      </c>
    </row>
    <row r="9" spans="1:8" ht="20.100000000000001" customHeight="1">
      <c r="A9" s="6">
        <v>7</v>
      </c>
      <c r="B9" s="7">
        <f>100+Config!$B$8*(A9-1)</f>
        <v>340</v>
      </c>
      <c r="C9" s="7">
        <f>10+Config!$B$9*(A9-1)</f>
        <v>28</v>
      </c>
      <c r="D9" s="8">
        <f>1+Config!$B$10*(A9-1)</f>
        <v>1.18</v>
      </c>
      <c r="E9" s="9">
        <f>IF(A9=20,0,INT(Config!$B$6*(A9^Config!$B$7)))</f>
        <v>1852</v>
      </c>
      <c r="F9" s="9">
        <f t="shared" si="0"/>
        <v>4288</v>
      </c>
      <c r="G9" s="7" t="s">
        <v>48</v>
      </c>
      <c r="H9" s="10" t="s">
        <v>49</v>
      </c>
    </row>
    <row r="10" spans="1:8" ht="20.100000000000001" customHeight="1">
      <c r="A10" s="6">
        <v>8</v>
      </c>
      <c r="B10" s="7">
        <f>100+Config!$B$8*(A10-1)</f>
        <v>380</v>
      </c>
      <c r="C10" s="7">
        <f>10+Config!$B$9*(A10-1)</f>
        <v>31</v>
      </c>
      <c r="D10" s="8">
        <f>1+Config!$B$10*(A10-1)</f>
        <v>1.21</v>
      </c>
      <c r="E10" s="9">
        <f>IF(A10=20,0,INT(Config!$B$6*(A10^Config!$B$7)))</f>
        <v>2262</v>
      </c>
      <c r="F10" s="9">
        <f t="shared" si="0"/>
        <v>6140</v>
      </c>
      <c r="G10" s="7" t="s">
        <v>48</v>
      </c>
      <c r="H10" s="10" t="s">
        <v>49</v>
      </c>
    </row>
    <row r="11" spans="1:8" ht="20.100000000000001" customHeight="1">
      <c r="A11" s="6">
        <v>9</v>
      </c>
      <c r="B11" s="7">
        <f>100+Config!$B$8*(A11-1)</f>
        <v>420</v>
      </c>
      <c r="C11" s="7">
        <f>10+Config!$B$9*(A11-1)</f>
        <v>34</v>
      </c>
      <c r="D11" s="8">
        <f>1+Config!$B$10*(A11-1)</f>
        <v>1.24</v>
      </c>
      <c r="E11" s="9">
        <f>IF(A11=20,0,INT(Config!$B$6*(A11^Config!$B$7)))</f>
        <v>2700</v>
      </c>
      <c r="F11" s="9">
        <f t="shared" si="0"/>
        <v>8402</v>
      </c>
      <c r="G11" s="7" t="s">
        <v>48</v>
      </c>
      <c r="H11" s="10" t="s">
        <v>49</v>
      </c>
    </row>
    <row r="12" spans="1:8" ht="20.100000000000001" customHeight="1">
      <c r="A12" s="6">
        <v>10</v>
      </c>
      <c r="B12" s="7">
        <f>100+Config!$B$8*(A12-1)</f>
        <v>460</v>
      </c>
      <c r="C12" s="7">
        <f>10+Config!$B$9*(A12-1)</f>
        <v>37</v>
      </c>
      <c r="D12" s="8">
        <f>1+Config!$B$10*(A12-1)</f>
        <v>1.27</v>
      </c>
      <c r="E12" s="9">
        <f>IF(A12=20,0,INT(Config!$B$6*(A12^Config!$B$7)))</f>
        <v>3162</v>
      </c>
      <c r="F12" s="9">
        <f t="shared" si="0"/>
        <v>11102</v>
      </c>
      <c r="G12" s="7" t="s">
        <v>50</v>
      </c>
      <c r="H12" s="10" t="s">
        <v>51</v>
      </c>
    </row>
    <row r="13" spans="1:8" ht="20.100000000000001" customHeight="1">
      <c r="A13" s="6">
        <v>11</v>
      </c>
      <c r="B13" s="7">
        <f>100+Config!$B$8*(A13-1)</f>
        <v>500</v>
      </c>
      <c r="C13" s="7">
        <f>10+Config!$B$9*(A13-1)</f>
        <v>40</v>
      </c>
      <c r="D13" s="8">
        <f>1+Config!$B$10*(A13-1)</f>
        <v>1.3</v>
      </c>
      <c r="E13" s="9">
        <f>IF(A13=20,0,INT(Config!$B$6*(A13^Config!$B$7)))</f>
        <v>3648</v>
      </c>
      <c r="F13" s="9">
        <f t="shared" si="0"/>
        <v>14264</v>
      </c>
      <c r="G13" s="7" t="s">
        <v>52</v>
      </c>
      <c r="H13" s="10" t="s">
        <v>53</v>
      </c>
    </row>
    <row r="14" spans="1:8" ht="20.100000000000001" customHeight="1">
      <c r="A14" s="6">
        <v>12</v>
      </c>
      <c r="B14" s="7">
        <f>100+Config!$B$8*(A14-1)</f>
        <v>540</v>
      </c>
      <c r="C14" s="7">
        <f>10+Config!$B$9*(A14-1)</f>
        <v>43</v>
      </c>
      <c r="D14" s="8">
        <f>1+Config!$B$10*(A14-1)</f>
        <v>1.33</v>
      </c>
      <c r="E14" s="9">
        <f>IF(A14=20,0,INT(Config!$B$6*(A14^Config!$B$7)))</f>
        <v>4156</v>
      </c>
      <c r="F14" s="9">
        <f t="shared" si="0"/>
        <v>17912</v>
      </c>
      <c r="G14" s="7" t="s">
        <v>52</v>
      </c>
      <c r="H14" s="10" t="s">
        <v>53</v>
      </c>
    </row>
    <row r="15" spans="1:8" ht="20.100000000000001" customHeight="1">
      <c r="A15" s="6">
        <v>13</v>
      </c>
      <c r="B15" s="7">
        <f>100+Config!$B$8*(A15-1)</f>
        <v>580</v>
      </c>
      <c r="C15" s="7">
        <f>10+Config!$B$9*(A15-1)</f>
        <v>46</v>
      </c>
      <c r="D15" s="8">
        <f>1+Config!$B$10*(A15-1)</f>
        <v>1.3599999999999999</v>
      </c>
      <c r="E15" s="9">
        <f>IF(A15=20,0,INT(Config!$B$6*(A15^Config!$B$7)))</f>
        <v>4687</v>
      </c>
      <c r="F15" s="9">
        <f t="shared" si="0"/>
        <v>22068</v>
      </c>
      <c r="G15" s="7" t="s">
        <v>52</v>
      </c>
      <c r="H15" s="10" t="s">
        <v>53</v>
      </c>
    </row>
    <row r="16" spans="1:8" ht="20.100000000000001" customHeight="1">
      <c r="A16" s="6">
        <v>14</v>
      </c>
      <c r="B16" s="7">
        <f>100+Config!$B$8*(A16-1)</f>
        <v>620</v>
      </c>
      <c r="C16" s="7">
        <f>10+Config!$B$9*(A16-1)</f>
        <v>49</v>
      </c>
      <c r="D16" s="8">
        <f>1+Config!$B$10*(A16-1)</f>
        <v>1.3900000000000001</v>
      </c>
      <c r="E16" s="9">
        <f>IF(A16=20,0,INT(Config!$B$6*(A16^Config!$B$7)))</f>
        <v>5238</v>
      </c>
      <c r="F16" s="9">
        <f t="shared" si="0"/>
        <v>26755</v>
      </c>
      <c r="G16" s="7" t="s">
        <v>52</v>
      </c>
      <c r="H16" s="10" t="s">
        <v>53</v>
      </c>
    </row>
    <row r="17" spans="1:8" ht="20.100000000000001" customHeight="1">
      <c r="A17" s="6">
        <v>15</v>
      </c>
      <c r="B17" s="7">
        <f>100+Config!$B$8*(A17-1)</f>
        <v>660</v>
      </c>
      <c r="C17" s="7">
        <f>10+Config!$B$9*(A17-1)</f>
        <v>52</v>
      </c>
      <c r="D17" s="8">
        <f>1+Config!$B$10*(A17-1)</f>
        <v>1.42</v>
      </c>
      <c r="E17" s="9">
        <f>IF(A17=20,0,INT(Config!$B$6*(A17^Config!$B$7)))</f>
        <v>5809</v>
      </c>
      <c r="F17" s="9">
        <f t="shared" si="0"/>
        <v>31993</v>
      </c>
      <c r="G17" s="7" t="s">
        <v>54</v>
      </c>
      <c r="H17" s="10" t="s">
        <v>55</v>
      </c>
    </row>
    <row r="18" spans="1:8" ht="20.100000000000001" customHeight="1">
      <c r="A18" s="6">
        <v>16</v>
      </c>
      <c r="B18" s="7">
        <f>100+Config!$B$8*(A18-1)</f>
        <v>700</v>
      </c>
      <c r="C18" s="7">
        <f>10+Config!$B$9*(A18-1)</f>
        <v>55</v>
      </c>
      <c r="D18" s="8">
        <f>1+Config!$B$10*(A18-1)</f>
        <v>1.45</v>
      </c>
      <c r="E18" s="9">
        <f>IF(A18=20,0,INT(Config!$B$6*(A18^Config!$B$7)))</f>
        <v>6400</v>
      </c>
      <c r="F18" s="9">
        <f t="shared" si="0"/>
        <v>37802</v>
      </c>
      <c r="G18" s="7" t="s">
        <v>56</v>
      </c>
      <c r="H18" s="10" t="s">
        <v>57</v>
      </c>
    </row>
    <row r="19" spans="1:8" ht="20.100000000000001" customHeight="1">
      <c r="A19" s="6">
        <v>17</v>
      </c>
      <c r="B19" s="7">
        <f>100+Config!$B$8*(A19-1)</f>
        <v>740</v>
      </c>
      <c r="C19" s="7">
        <f>10+Config!$B$9*(A19-1)</f>
        <v>58</v>
      </c>
      <c r="D19" s="8">
        <f>1+Config!$B$10*(A19-1)</f>
        <v>1.48</v>
      </c>
      <c r="E19" s="9">
        <f>IF(A19=20,0,INT(Config!$B$6*(A19^Config!$B$7)))</f>
        <v>7009</v>
      </c>
      <c r="F19" s="9">
        <f t="shared" si="0"/>
        <v>44202</v>
      </c>
      <c r="G19" s="7" t="s">
        <v>56</v>
      </c>
      <c r="H19" s="10" t="s">
        <v>57</v>
      </c>
    </row>
    <row r="20" spans="1:8" ht="20.100000000000001" customHeight="1">
      <c r="A20" s="6">
        <v>18</v>
      </c>
      <c r="B20" s="7">
        <f>100+Config!$B$8*(A20-1)</f>
        <v>780</v>
      </c>
      <c r="C20" s="7">
        <f>10+Config!$B$9*(A20-1)</f>
        <v>61</v>
      </c>
      <c r="D20" s="8">
        <f>1+Config!$B$10*(A20-1)</f>
        <v>1.51</v>
      </c>
      <c r="E20" s="9">
        <f>IF(A20=20,0,INT(Config!$B$6*(A20^Config!$B$7)))</f>
        <v>7636</v>
      </c>
      <c r="F20" s="9">
        <f t="shared" si="0"/>
        <v>51211</v>
      </c>
      <c r="G20" s="7" t="s">
        <v>56</v>
      </c>
      <c r="H20" s="10" t="s">
        <v>57</v>
      </c>
    </row>
    <row r="21" spans="1:8" ht="20.100000000000001" customHeight="1">
      <c r="A21" s="6">
        <v>19</v>
      </c>
      <c r="B21" s="7">
        <f>100+Config!$B$8*(A21-1)</f>
        <v>820</v>
      </c>
      <c r="C21" s="7">
        <f>10+Config!$B$9*(A21-1)</f>
        <v>64</v>
      </c>
      <c r="D21" s="8">
        <f>1+Config!$B$10*(A21-1)</f>
        <v>1.54</v>
      </c>
      <c r="E21" s="9">
        <f>IF(A21=20,0,INT(Config!$B$6*(A21^Config!$B$7)))</f>
        <v>8281</v>
      </c>
      <c r="F21" s="9">
        <f t="shared" si="0"/>
        <v>58847</v>
      </c>
      <c r="G21" s="7" t="s">
        <v>56</v>
      </c>
      <c r="H21" s="10" t="s">
        <v>57</v>
      </c>
    </row>
    <row r="22" spans="1:8" ht="20.100000000000001" customHeight="1">
      <c r="A22" s="6">
        <v>20</v>
      </c>
      <c r="B22" s="7">
        <f>100+Config!$B$8*(A22-1)</f>
        <v>860</v>
      </c>
      <c r="C22" s="7">
        <f>10+Config!$B$9*(A22-1)</f>
        <v>67</v>
      </c>
      <c r="D22" s="8">
        <f>1+Config!$B$10*(A22-1)</f>
        <v>1.5699999999999998</v>
      </c>
      <c r="E22" s="9">
        <f>IF(A22=20,0,INT(Config!$B$6*(A22^Config!$B$7)))</f>
        <v>0</v>
      </c>
      <c r="F22" s="9">
        <f t="shared" si="0"/>
        <v>67128</v>
      </c>
      <c r="G22" s="7" t="s">
        <v>58</v>
      </c>
      <c r="H22" s="10" t="s">
        <v>59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F26" sqref="F26"/>
    </sheetView>
  </sheetViews>
  <sheetFormatPr defaultRowHeight="16.5"/>
  <cols>
    <col min="1" max="1" width="61" customWidth="1"/>
    <col min="2" max="2" width="37" customWidth="1"/>
    <col min="3" max="3" width="19" customWidth="1"/>
    <col min="4" max="4" width="25" customWidth="1"/>
    <col min="5" max="5" width="33" customWidth="1"/>
    <col min="6" max="6" width="41" customWidth="1"/>
    <col min="7" max="7" width="11" customWidth="1"/>
    <col min="8" max="8" width="41" customWidth="1"/>
    <col min="9" max="9" width="11" customWidth="1"/>
    <col min="10" max="10" width="25" customWidth="1"/>
  </cols>
  <sheetData>
    <row r="1" spans="1:10" ht="39.950000000000003" customHeight="1">
      <c r="A1" s="52" t="s">
        <v>60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4.95" customHeight="1">
      <c r="A2" s="1" t="s">
        <v>61</v>
      </c>
      <c r="B2" s="1" t="s">
        <v>62</v>
      </c>
      <c r="C2" s="1" t="s">
        <v>38</v>
      </c>
      <c r="D2" s="1" t="s">
        <v>39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ht="21.95" customHeight="1">
      <c r="A3" s="3" t="s">
        <v>69</v>
      </c>
      <c r="B3" s="3" t="s">
        <v>70</v>
      </c>
      <c r="C3" s="11">
        <v>8</v>
      </c>
      <c r="D3" s="12">
        <v>0.05</v>
      </c>
      <c r="E3" s="3" t="s">
        <v>173</v>
      </c>
      <c r="F3" s="3" t="s">
        <v>71</v>
      </c>
      <c r="G3" s="11" t="s">
        <v>72</v>
      </c>
      <c r="H3" s="3" t="s">
        <v>71</v>
      </c>
      <c r="I3" s="11" t="s">
        <v>72</v>
      </c>
      <c r="J3" s="3" t="s">
        <v>71</v>
      </c>
    </row>
    <row r="4" spans="1:10" ht="21.95" customHeight="1">
      <c r="A4" s="3" t="s">
        <v>73</v>
      </c>
      <c r="B4" s="3" t="s">
        <v>74</v>
      </c>
      <c r="C4" s="11">
        <v>24</v>
      </c>
      <c r="D4" s="12">
        <v>0.1</v>
      </c>
      <c r="E4" s="3" t="s">
        <v>174</v>
      </c>
      <c r="F4" s="3" t="s">
        <v>71</v>
      </c>
      <c r="G4" s="11" t="s">
        <v>72</v>
      </c>
      <c r="H4" s="3" t="s">
        <v>71</v>
      </c>
      <c r="I4" s="11" t="s">
        <v>72</v>
      </c>
      <c r="J4" s="3" t="s">
        <v>71</v>
      </c>
    </row>
    <row r="5" spans="1:10" ht="21.95" customHeight="1">
      <c r="A5" s="3" t="s">
        <v>75</v>
      </c>
      <c r="B5" s="3" t="s">
        <v>76</v>
      </c>
      <c r="C5" s="11">
        <v>56</v>
      </c>
      <c r="D5" s="12">
        <v>0.15</v>
      </c>
      <c r="E5" s="3" t="s">
        <v>175</v>
      </c>
      <c r="F5" s="3" t="s">
        <v>71</v>
      </c>
      <c r="G5" s="11" t="s">
        <v>72</v>
      </c>
      <c r="H5" s="3" t="s">
        <v>71</v>
      </c>
      <c r="I5" s="11" t="s">
        <v>72</v>
      </c>
      <c r="J5" s="3" t="s">
        <v>71</v>
      </c>
    </row>
    <row r="6" spans="1:10" ht="21.95" customHeight="1">
      <c r="A6" s="3" t="s">
        <v>77</v>
      </c>
      <c r="B6" s="3" t="s">
        <v>78</v>
      </c>
      <c r="C6" s="11">
        <v>120</v>
      </c>
      <c r="D6" s="12">
        <v>0.2</v>
      </c>
      <c r="E6" s="3" t="s">
        <v>179</v>
      </c>
      <c r="F6" s="3" t="s">
        <v>79</v>
      </c>
      <c r="G6" s="11">
        <v>15</v>
      </c>
      <c r="H6" s="3" t="s">
        <v>80</v>
      </c>
      <c r="I6" s="11">
        <v>10</v>
      </c>
      <c r="J6" s="13">
        <v>0.1</v>
      </c>
    </row>
    <row r="7" spans="1:10" ht="21.95" customHeight="1">
      <c r="A7" s="3" t="s">
        <v>81</v>
      </c>
      <c r="B7" s="3" t="s">
        <v>82</v>
      </c>
      <c r="C7" s="11">
        <v>250</v>
      </c>
      <c r="D7" s="12">
        <v>0.3</v>
      </c>
      <c r="E7" s="3" t="s">
        <v>180</v>
      </c>
      <c r="F7" s="3" t="s">
        <v>80</v>
      </c>
      <c r="G7" s="11">
        <v>20</v>
      </c>
      <c r="H7" s="3" t="s">
        <v>83</v>
      </c>
      <c r="I7" s="11">
        <v>15</v>
      </c>
      <c r="J7" s="13">
        <v>0.08</v>
      </c>
    </row>
    <row r="9" spans="1:10" ht="35.1" customHeight="1">
      <c r="A9" s="54" t="s">
        <v>84</v>
      </c>
      <c r="B9" s="53"/>
      <c r="C9" s="53"/>
      <c r="D9" s="53"/>
      <c r="E9" s="53"/>
      <c r="F9" s="53"/>
      <c r="G9" s="53"/>
      <c r="H9" s="53"/>
      <c r="I9" s="53"/>
      <c r="J9" s="53"/>
    </row>
    <row r="10" spans="1:10" ht="24.95" customHeight="1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90</v>
      </c>
    </row>
    <row r="11" spans="1:10" ht="21.95" customHeight="1">
      <c r="A11" s="3" t="s">
        <v>91</v>
      </c>
      <c r="B11" s="3" t="s">
        <v>92</v>
      </c>
      <c r="C11" s="14">
        <f>Config!$B$17</f>
        <v>0.2</v>
      </c>
      <c r="D11" s="15">
        <f>Config!$B$15</f>
        <v>10</v>
      </c>
      <c r="E11" s="3" t="s">
        <v>176</v>
      </c>
      <c r="F11" s="3" t="s">
        <v>93</v>
      </c>
      <c r="G11" s="11">
        <v>5</v>
      </c>
      <c r="H11" s="3" t="s">
        <v>94</v>
      </c>
      <c r="I11" s="11">
        <v>1</v>
      </c>
      <c r="J11" s="3" t="s">
        <v>95</v>
      </c>
    </row>
    <row r="12" spans="1:10" ht="21.95" customHeight="1">
      <c r="A12" s="3" t="s">
        <v>96</v>
      </c>
      <c r="B12" s="3" t="s">
        <v>97</v>
      </c>
      <c r="C12" s="14">
        <f>Config!$B$18</f>
        <v>0.4</v>
      </c>
      <c r="D12" s="15">
        <f>Config!$B$15</f>
        <v>10</v>
      </c>
      <c r="E12" s="3" t="s">
        <v>177</v>
      </c>
      <c r="F12" s="3" t="s">
        <v>94</v>
      </c>
      <c r="G12" s="11">
        <v>5</v>
      </c>
      <c r="H12" s="3" t="s">
        <v>79</v>
      </c>
      <c r="I12" s="11">
        <v>1</v>
      </c>
      <c r="J12" s="3" t="s">
        <v>95</v>
      </c>
    </row>
    <row r="13" spans="1:10" ht="21.95" customHeight="1">
      <c r="A13" s="3" t="s">
        <v>98</v>
      </c>
      <c r="B13" s="3" t="s">
        <v>99</v>
      </c>
      <c r="C13" s="14">
        <f>Config!$B$19</f>
        <v>0.6</v>
      </c>
      <c r="D13" s="15">
        <f>Config!$B$15</f>
        <v>10</v>
      </c>
      <c r="E13" s="3" t="s">
        <v>178</v>
      </c>
      <c r="F13" s="3" t="s">
        <v>79</v>
      </c>
      <c r="G13" s="11">
        <v>5</v>
      </c>
      <c r="H13" s="3" t="s">
        <v>80</v>
      </c>
      <c r="I13" s="11">
        <v>1</v>
      </c>
      <c r="J13" s="3" t="s">
        <v>95</v>
      </c>
    </row>
  </sheetData>
  <mergeCells count="2">
    <mergeCell ref="A1:J1"/>
    <mergeCell ref="A9:J9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topLeftCell="H1" workbookViewId="0">
      <selection activeCell="U13" sqref="U13"/>
    </sheetView>
  </sheetViews>
  <sheetFormatPr defaultRowHeight="16.5"/>
  <cols>
    <col min="1" max="1" width="24.5" customWidth="1"/>
    <col min="2" max="2" width="22.875" customWidth="1"/>
    <col min="3" max="3" width="21.75" customWidth="1"/>
    <col min="4" max="4" width="17.125" customWidth="1"/>
    <col min="5" max="5" width="19" customWidth="1"/>
    <col min="6" max="6" width="18" customWidth="1"/>
    <col min="7" max="7" width="16" customWidth="1"/>
    <col min="8" max="8" width="14.5" customWidth="1"/>
    <col min="9" max="9" width="17.5" customWidth="1"/>
    <col min="10" max="10" width="12.75" customWidth="1"/>
    <col min="11" max="11" width="17.625" customWidth="1"/>
    <col min="12" max="12" width="13.375" customWidth="1"/>
    <col min="13" max="13" width="15.875" customWidth="1"/>
    <col min="14" max="14" width="22.875" customWidth="1"/>
    <col min="15" max="15" width="21.75" customWidth="1"/>
    <col min="16" max="16" width="18.875" customWidth="1"/>
    <col min="17" max="17" width="27.75" customWidth="1"/>
    <col min="18" max="18" width="28.625" customWidth="1"/>
    <col min="19" max="19" width="23.375" customWidth="1"/>
    <col min="20" max="20" width="21.875" customWidth="1"/>
  </cols>
  <sheetData>
    <row r="1" spans="1:20" ht="39.950000000000003" customHeight="1">
      <c r="A1" s="52" t="s">
        <v>100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24.95" customHeight="1">
      <c r="A2" s="1" t="s">
        <v>101</v>
      </c>
      <c r="B2" s="1" t="s">
        <v>102</v>
      </c>
      <c r="C2" s="1" t="s">
        <v>37</v>
      </c>
      <c r="D2" s="1" t="s">
        <v>38</v>
      </c>
      <c r="E2" s="1" t="s">
        <v>39</v>
      </c>
      <c r="F2" s="1" t="s">
        <v>103</v>
      </c>
      <c r="G2" s="1" t="s">
        <v>185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O2" s="1" t="s">
        <v>111</v>
      </c>
      <c r="P2" s="1" t="s">
        <v>112</v>
      </c>
      <c r="Q2" s="1" t="s">
        <v>113</v>
      </c>
      <c r="R2" s="1" t="s">
        <v>114</v>
      </c>
      <c r="S2" s="1" t="s">
        <v>115</v>
      </c>
      <c r="T2" s="1" t="s">
        <v>116</v>
      </c>
    </row>
    <row r="3" spans="1:20" ht="21.95" customHeight="1">
      <c r="A3" s="6" t="s">
        <v>181</v>
      </c>
      <c r="B3" s="10" t="s">
        <v>117</v>
      </c>
      <c r="C3" s="9">
        <f>ROUND(((VLOOKUP(5,Character_Growth!$A$3:$F$22,3,FALSE)+VLOOKUP("2등급",Weapon_Specs!$A$3:$J$7,3,FALSE))*(VLOOKUP(5,Character_Growth!$A$3:$F$22,4,FALSE)+VLOOKUP("2등급",Weapon_Specs!$A$3:$J$7,4,FALSE)))*Config!$B$13,0)</f>
        <v>224</v>
      </c>
      <c r="D3" s="16">
        <f>ROUND(((VLOOKUP(5,Character_Growth!$A$3:$F$22,2,FALSE)*Config!$B$14)/Config!$B$13)/E3,1)</f>
        <v>1.2</v>
      </c>
      <c r="E3" s="17">
        <v>0.8</v>
      </c>
      <c r="F3" s="16">
        <v>24</v>
      </c>
      <c r="G3" s="7">
        <v>10</v>
      </c>
      <c r="H3" s="16">
        <v>0</v>
      </c>
      <c r="I3" s="18">
        <f>(F3*G3)+H3</f>
        <v>240</v>
      </c>
      <c r="J3" s="7" t="s">
        <v>186</v>
      </c>
      <c r="K3" s="19">
        <v>0.8</v>
      </c>
      <c r="L3" s="7" t="s">
        <v>187</v>
      </c>
      <c r="M3" s="20">
        <f>0.1+(1/G3)</f>
        <v>0.2</v>
      </c>
      <c r="N3" s="21">
        <f>G3*K3</f>
        <v>8</v>
      </c>
      <c r="O3" s="21">
        <f>G3*M3</f>
        <v>2</v>
      </c>
      <c r="P3" s="20">
        <f>0.01+(0.2/G3)</f>
        <v>0.03</v>
      </c>
      <c r="Q3" s="21">
        <f>G3*P3</f>
        <v>0.3</v>
      </c>
      <c r="R3" s="21">
        <f>MIN(N3/5, O3/1)</f>
        <v>1.6</v>
      </c>
      <c r="S3" s="22">
        <v>0</v>
      </c>
      <c r="T3" s="23">
        <f>G3*S3</f>
        <v>0</v>
      </c>
    </row>
    <row r="4" spans="1:20" ht="21.95" customHeight="1">
      <c r="A4" s="6" t="s">
        <v>182</v>
      </c>
      <c r="B4" s="10" t="s">
        <v>118</v>
      </c>
      <c r="C4" s="9">
        <f>ROUND(((VLOOKUP(10,Character_Growth!$A$3:$F$22,3,FALSE)+VLOOKUP("3등급",Weapon_Specs!$A$3:$J$7,3,FALSE))*(VLOOKUP(10,Character_Growth!$A$3:$F$22,4,FALSE)+VLOOKUP("3등급",Weapon_Specs!$A$3:$J$7,4,FALSE)))*Config!$B$13,0)</f>
        <v>528</v>
      </c>
      <c r="D4" s="16">
        <f>ROUND(((VLOOKUP(10,Character_Growth!$A$3:$F$22,2,FALSE)*Config!$B$14)/Config!$B$13)/E4,1)</f>
        <v>1.9</v>
      </c>
      <c r="E4" s="17">
        <v>0.9</v>
      </c>
      <c r="F4" s="16">
        <v>100</v>
      </c>
      <c r="G4" s="7">
        <v>12</v>
      </c>
      <c r="H4" s="16">
        <v>0</v>
      </c>
      <c r="I4" s="18">
        <f>(F4*G4)+H4</f>
        <v>1200</v>
      </c>
      <c r="J4" s="7" t="s">
        <v>187</v>
      </c>
      <c r="K4" s="19">
        <v>0.8</v>
      </c>
      <c r="L4" s="7" t="s">
        <v>188</v>
      </c>
      <c r="M4" s="20">
        <f>0.1+(1/G4)</f>
        <v>0.18333333333333335</v>
      </c>
      <c r="N4" s="21">
        <f>G4*K4</f>
        <v>9.6000000000000014</v>
      </c>
      <c r="O4" s="21">
        <f>G4*M4</f>
        <v>2.2000000000000002</v>
      </c>
      <c r="P4" s="20">
        <f>0.008+(0.2/G4)</f>
        <v>2.4666666666666667E-2</v>
      </c>
      <c r="Q4" s="21">
        <f>G4*P4</f>
        <v>0.29599999999999999</v>
      </c>
      <c r="R4" s="21">
        <f>MIN(N4/5, O4/1)</f>
        <v>1.9200000000000004</v>
      </c>
      <c r="S4" s="22">
        <v>0</v>
      </c>
      <c r="T4" s="23">
        <f>G4*S4</f>
        <v>0</v>
      </c>
    </row>
    <row r="5" spans="1:20" ht="21.95" customHeight="1">
      <c r="A5" s="6" t="s">
        <v>183</v>
      </c>
      <c r="B5" s="10" t="s">
        <v>119</v>
      </c>
      <c r="C5" s="9">
        <f>ROUND(((VLOOKUP(15,Character_Growth!$A$3:$F$22,3,FALSE)+VLOOKUP("4등급",Weapon_Specs!$A$3:$J$7,3,FALSE))*(VLOOKUP(15,Character_Growth!$A$3:$F$22,4,FALSE)+VLOOKUP("4등급",Weapon_Specs!$A$3:$J$7,4,FALSE)))*Config!$B$13,0)</f>
        <v>1115</v>
      </c>
      <c r="D5" s="16">
        <f>ROUND(((VLOOKUP(15,Character_Growth!$A$3:$F$22,2,FALSE)*Config!$B$14)/Config!$B$13)/E5,1)</f>
        <v>2.5</v>
      </c>
      <c r="E5" s="17">
        <v>1</v>
      </c>
      <c r="F5" s="16">
        <v>180</v>
      </c>
      <c r="G5" s="7">
        <v>15</v>
      </c>
      <c r="H5" s="16">
        <v>0</v>
      </c>
      <c r="I5" s="18">
        <f>(F5*G5)+H5</f>
        <v>2700</v>
      </c>
      <c r="J5" s="7" t="s">
        <v>188</v>
      </c>
      <c r="K5" s="19">
        <v>0.8</v>
      </c>
      <c r="L5" s="7" t="s">
        <v>189</v>
      </c>
      <c r="M5" s="20">
        <f>0.1+(1/G5)</f>
        <v>0.16666666666666669</v>
      </c>
      <c r="N5" s="21">
        <f>G5*K5</f>
        <v>12</v>
      </c>
      <c r="O5" s="21">
        <f>G5*M5</f>
        <v>2.5000000000000004</v>
      </c>
      <c r="P5" s="20">
        <f>0.007+(0.2/G5)</f>
        <v>2.0333333333333335E-2</v>
      </c>
      <c r="Q5" s="21">
        <f>G5*P5</f>
        <v>0.30500000000000005</v>
      </c>
      <c r="R5" s="21">
        <f>MIN(N5/5, O5/1)</f>
        <v>2.4</v>
      </c>
      <c r="S5" s="22">
        <f>0.1/G5</f>
        <v>6.6666666666666671E-3</v>
      </c>
      <c r="T5" s="23">
        <f>G5*S5</f>
        <v>0.1</v>
      </c>
    </row>
    <row r="6" spans="1:20" ht="21.95" customHeight="1">
      <c r="A6" s="6" t="s">
        <v>184</v>
      </c>
      <c r="B6" s="10" t="s">
        <v>120</v>
      </c>
      <c r="C6" s="9">
        <f>ROUND(((VLOOKUP(20,Character_Growth!$A$3:$F$22,3,FALSE)+VLOOKUP("5등급",Weapon_Specs!$A$3:$J$7,3,FALSE))*(VLOOKUP(20,Character_Growth!$A$3:$F$22,4,FALSE)+VLOOKUP("5등급",Weapon_Specs!$A$3:$J$7,4,FALSE)))*Config!$B$13,0)</f>
        <v>2371</v>
      </c>
      <c r="D6" s="16">
        <f>ROUND(((VLOOKUP(20,Character_Growth!$A$3:$F$22,2,FALSE)*Config!$B$14)/Config!$B$13)/E6,1)</f>
        <v>2.9</v>
      </c>
      <c r="E6" s="17">
        <v>1.1000000000000001</v>
      </c>
      <c r="F6" s="16">
        <v>300</v>
      </c>
      <c r="G6" s="7">
        <v>15</v>
      </c>
      <c r="H6" s="16">
        <v>0</v>
      </c>
      <c r="I6" s="18">
        <f>(F6*G6)+H6</f>
        <v>4500</v>
      </c>
      <c r="J6" s="7" t="s">
        <v>189</v>
      </c>
      <c r="K6" s="19">
        <v>0.8</v>
      </c>
      <c r="L6" s="7" t="s">
        <v>190</v>
      </c>
      <c r="M6" s="20">
        <f>0.12+(2/G6)</f>
        <v>0.2533333333333333</v>
      </c>
      <c r="N6" s="21">
        <f>G6*K6</f>
        <v>12</v>
      </c>
      <c r="O6" s="21">
        <f>G6*M6</f>
        <v>3.7999999999999994</v>
      </c>
      <c r="P6" s="20">
        <f>0.007+(0.2/G6)</f>
        <v>2.0333333333333335E-2</v>
      </c>
      <c r="Q6" s="21">
        <f>G6*P6</f>
        <v>0.30500000000000005</v>
      </c>
      <c r="R6" s="21">
        <f>MIN(N6/5, O6/1)</f>
        <v>2.4</v>
      </c>
      <c r="S6" s="22">
        <f>0.08/G6</f>
        <v>5.3333333333333332E-3</v>
      </c>
      <c r="T6" s="23">
        <f>G6*S6</f>
        <v>0.08</v>
      </c>
    </row>
  </sheetData>
  <mergeCells count="1">
    <mergeCell ref="A1:T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H24" sqref="H24"/>
    </sheetView>
  </sheetViews>
  <sheetFormatPr defaultRowHeight="16.5"/>
  <cols>
    <col min="1" max="1" width="25.875" customWidth="1"/>
    <col min="2" max="2" width="25.625" customWidth="1"/>
    <col min="3" max="3" width="17.375" customWidth="1"/>
    <col min="4" max="4" width="15.75" customWidth="1"/>
    <col min="5" max="5" width="19" customWidth="1"/>
    <col min="6" max="6" width="20" customWidth="1"/>
    <col min="7" max="7" width="25" customWidth="1"/>
    <col min="8" max="8" width="33" customWidth="1"/>
  </cols>
  <sheetData>
    <row r="1" spans="1:8" ht="39.950000000000003" customHeight="1">
      <c r="A1" s="52" t="s">
        <v>121</v>
      </c>
      <c r="B1" s="53"/>
      <c r="C1" s="53"/>
      <c r="D1" s="53"/>
      <c r="E1" s="53"/>
      <c r="F1" s="53"/>
      <c r="G1" s="53"/>
      <c r="H1" s="53"/>
    </row>
    <row r="2" spans="1:8" ht="24.95" customHeight="1">
      <c r="A2" s="1" t="s">
        <v>122</v>
      </c>
      <c r="B2" s="1" t="s">
        <v>123</v>
      </c>
      <c r="C2" s="1" t="s">
        <v>37</v>
      </c>
      <c r="D2" s="1" t="s">
        <v>38</v>
      </c>
      <c r="E2" s="1" t="s">
        <v>39</v>
      </c>
      <c r="F2" s="1" t="s">
        <v>124</v>
      </c>
      <c r="G2" s="1" t="s">
        <v>125</v>
      </c>
      <c r="H2" s="1" t="s">
        <v>126</v>
      </c>
    </row>
    <row r="3" spans="1:8" ht="21.95" customHeight="1">
      <c r="A3" s="6" t="s">
        <v>191</v>
      </c>
      <c r="B3" s="10" t="s">
        <v>127</v>
      </c>
      <c r="C3" s="9">
        <f>ROUND(((VLOOKUP(5,Character_Growth!$A$3:$F$22,3,FALSE)+VLOOKUP("2등급",Weapon_Specs!$A$3:$J$7,3,FALSE))*(VLOOKUP(5,Character_Growth!$A$3:$F$22,4,FALSE)+VLOOKUP("2등급",Weapon_Specs!$A$3:$J$7,4,FALSE)))*Config!$B$11,-2)</f>
        <v>1700</v>
      </c>
      <c r="D3" s="16">
        <f>ROUND((VLOOKUP(5,Character_Growth!$A$3:$F$22,2,FALSE)/Config!$B$12)/E3,1)</f>
        <v>13</v>
      </c>
      <c r="E3" s="17">
        <v>1</v>
      </c>
      <c r="F3" s="24">
        <f>D3*E3</f>
        <v>13</v>
      </c>
      <c r="G3" s="9">
        <v>1118</v>
      </c>
      <c r="H3" s="7" t="s">
        <v>128</v>
      </c>
    </row>
    <row r="4" spans="1:8" ht="21.95" customHeight="1">
      <c r="A4" s="6" t="s">
        <v>192</v>
      </c>
      <c r="B4" s="10" t="s">
        <v>129</v>
      </c>
      <c r="C4" s="9">
        <f>ROUND(((VLOOKUP(10,Character_Growth!$A$3:$F$22,3,FALSE)+VLOOKUP("3등급",Weapon_Specs!$A$3:$J$7,3,FALSE))*(VLOOKUP(10,Character_Growth!$A$3:$F$22,4,FALSE)+VLOOKUP("3등급",Weapon_Specs!$A$3:$J$7,4,FALSE)))*Config!$B$11,-2)</f>
        <v>4000</v>
      </c>
      <c r="D4" s="16">
        <f>ROUND((VLOOKUP(10,Character_Growth!$A$3:$F$22,2,FALSE)/Config!$B$12)/E4,1)</f>
        <v>20.9</v>
      </c>
      <c r="E4" s="17">
        <v>1.1000000000000001</v>
      </c>
      <c r="F4" s="24">
        <f>D4*E4</f>
        <v>22.990000000000002</v>
      </c>
      <c r="G4" s="9">
        <v>3162</v>
      </c>
      <c r="H4" s="7" t="s">
        <v>130</v>
      </c>
    </row>
    <row r="5" spans="1:8" ht="21.95" customHeight="1">
      <c r="A5" s="6" t="s">
        <v>193</v>
      </c>
      <c r="B5" s="10" t="s">
        <v>131</v>
      </c>
      <c r="C5" s="9">
        <f>ROUND(((VLOOKUP(15,Character_Growth!$A$3:$F$22,3,FALSE)+VLOOKUP("4등급",Weapon_Specs!$A$3:$J$7,3,FALSE))*(VLOOKUP(15,Character_Growth!$A$3:$F$22,4,FALSE)+VLOOKUP("4등급",Weapon_Specs!$A$3:$J$7,4,FALSE)))*Config!$B$11,-2)</f>
        <v>8400</v>
      </c>
      <c r="D5" s="16">
        <f>ROUND((VLOOKUP(15,Character_Growth!$A$3:$F$22,2,FALSE)/Config!$B$12)/E5,1)</f>
        <v>27.5</v>
      </c>
      <c r="E5" s="17">
        <v>1.2</v>
      </c>
      <c r="F5" s="24">
        <f>D5*E5</f>
        <v>33</v>
      </c>
      <c r="G5" s="9">
        <v>5809</v>
      </c>
      <c r="H5" s="7" t="s">
        <v>132</v>
      </c>
    </row>
    <row r="6" spans="1:8" ht="21.95" customHeight="1">
      <c r="A6" s="6" t="s">
        <v>133</v>
      </c>
      <c r="B6" s="10" t="s">
        <v>134</v>
      </c>
      <c r="C6" s="9">
        <f>ROUND(((VLOOKUP(20,Character_Growth!$A$3:$F$22,3,FALSE)+VLOOKUP("5등급",Weapon_Specs!$A$3:$J$7,3,FALSE))*(VLOOKUP(20,Character_Growth!$A$3:$F$22,4,FALSE)+VLOOKUP("5등급",Weapon_Specs!$A$3:$J$7,4,FALSE)))*Config!$B$11,-2)</f>
        <v>17800</v>
      </c>
      <c r="D6" s="16">
        <f>ROUND((VLOOKUP(20,Character_Growth!$A$3:$F$22,2,FALSE)/Config!$B$12)/E6,1)</f>
        <v>33.1</v>
      </c>
      <c r="E6" s="17">
        <v>1.3</v>
      </c>
      <c r="F6" s="24">
        <f>D6*E6</f>
        <v>43.03</v>
      </c>
      <c r="G6" s="9">
        <v>0</v>
      </c>
      <c r="H6" s="7" t="s">
        <v>135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2"/>
  <sheetViews>
    <sheetView topLeftCell="H1" workbookViewId="0">
      <selection activeCell="P19" sqref="P19"/>
    </sheetView>
  </sheetViews>
  <sheetFormatPr defaultRowHeight="16.5"/>
  <cols>
    <col min="1" max="1" width="15" customWidth="1"/>
    <col min="2" max="2" width="23.125" customWidth="1"/>
    <col min="3" max="4" width="12" customWidth="1"/>
    <col min="5" max="5" width="19" customWidth="1"/>
    <col min="6" max="6" width="14" customWidth="1"/>
    <col min="7" max="7" width="16.5" customWidth="1"/>
    <col min="8" max="8" width="20.875" customWidth="1"/>
    <col min="9" max="9" width="18.25" customWidth="1"/>
    <col min="10" max="10" width="13.875" customWidth="1"/>
    <col min="11" max="11" width="20.875" customWidth="1"/>
    <col min="12" max="12" width="23" customWidth="1"/>
    <col min="13" max="15" width="19" customWidth="1"/>
    <col min="16" max="16" width="14.5" customWidth="1"/>
    <col min="17" max="17" width="13.25" customWidth="1"/>
    <col min="18" max="19" width="13" customWidth="1"/>
    <col min="20" max="20" width="21.75" customWidth="1"/>
    <col min="21" max="21" width="24" customWidth="1"/>
    <col min="22" max="22" width="25" customWidth="1"/>
  </cols>
  <sheetData>
    <row r="1" spans="1:22" ht="39.950000000000003" customHeight="1">
      <c r="A1" s="52" t="s">
        <v>136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22" ht="30" customHeight="1">
      <c r="A2" s="1" t="s">
        <v>137</v>
      </c>
      <c r="B2" s="1" t="s">
        <v>138</v>
      </c>
      <c r="C2" s="1" t="s">
        <v>139</v>
      </c>
      <c r="D2" s="1" t="s">
        <v>140</v>
      </c>
      <c r="E2" s="1" t="s">
        <v>141</v>
      </c>
      <c r="F2" s="1" t="s">
        <v>142</v>
      </c>
      <c r="G2" s="1" t="s">
        <v>143</v>
      </c>
      <c r="H2" s="1" t="s">
        <v>144</v>
      </c>
      <c r="I2" s="1" t="s">
        <v>145</v>
      </c>
      <c r="J2" s="1" t="s">
        <v>146</v>
      </c>
      <c r="K2" s="1" t="s">
        <v>147</v>
      </c>
      <c r="L2" s="1" t="s">
        <v>148</v>
      </c>
      <c r="M2" s="1" t="s">
        <v>149</v>
      </c>
      <c r="N2" s="1" t="s">
        <v>150</v>
      </c>
      <c r="O2" s="1" t="s">
        <v>151</v>
      </c>
      <c r="P2" s="1" t="s">
        <v>152</v>
      </c>
      <c r="Q2" s="1" t="s">
        <v>153</v>
      </c>
      <c r="R2" s="1" t="s">
        <v>154</v>
      </c>
      <c r="S2" s="1" t="s">
        <v>155</v>
      </c>
      <c r="T2" s="1" t="s">
        <v>156</v>
      </c>
      <c r="U2" s="1" t="s">
        <v>157</v>
      </c>
      <c r="V2" s="1" t="s">
        <v>158</v>
      </c>
    </row>
    <row r="3" spans="1:22" ht="24" customHeight="1">
      <c r="A3" s="25" t="s">
        <v>159</v>
      </c>
      <c r="B3" s="26" t="s">
        <v>160</v>
      </c>
      <c r="C3" s="27">
        <v>5</v>
      </c>
      <c r="D3" s="27" t="s">
        <v>73</v>
      </c>
      <c r="E3" s="28">
        <f>VLOOKUP(C3, Character_Growth!$A$3:$F$22, 2, FALSE)</f>
        <v>260</v>
      </c>
      <c r="F3" s="29">
        <f>VLOOKUP(C3, Character_Growth!$A$3:$F$22, 3, FALSE)</f>
        <v>22</v>
      </c>
      <c r="G3" s="30">
        <f>VLOOKUP(C3, Character_Growth!$A$3:$F$22, 4, FALSE)</f>
        <v>1.1200000000000001</v>
      </c>
      <c r="H3" s="29">
        <f>VLOOKUP(D3, Weapon_Specs!$A$3:$J$7, 3, FALSE)</f>
        <v>24</v>
      </c>
      <c r="I3" s="30">
        <f>VLOOKUP(D3, Weapon_Specs!$A$3:$J$7, 4, FALSE)</f>
        <v>0.1</v>
      </c>
      <c r="J3" s="27">
        <f>Config!$B$11</f>
        <v>30</v>
      </c>
      <c r="K3" s="29">
        <f t="shared" ref="K3:K12" si="0">F3+H3</f>
        <v>46</v>
      </c>
      <c r="L3" s="30">
        <f t="shared" ref="L3:L12" si="1">G3+I3</f>
        <v>1.2200000000000002</v>
      </c>
      <c r="M3" s="31">
        <f>K3*L3*2</f>
        <v>112.24000000000002</v>
      </c>
      <c r="N3" s="28">
        <f>Boss_Specs!$C$3</f>
        <v>1700</v>
      </c>
      <c r="O3" s="29">
        <f>Boss_Specs!$D$3</f>
        <v>13</v>
      </c>
      <c r="P3" s="27">
        <f>Config!$B$12</f>
        <v>20</v>
      </c>
      <c r="Q3" s="30">
        <f>Boss_Specs!$E$3</f>
        <v>1</v>
      </c>
      <c r="R3" s="31">
        <f t="shared" ref="R3:R12" si="2">O3*Q3</f>
        <v>13</v>
      </c>
      <c r="S3" s="32">
        <f t="shared" ref="S3:S12" si="3">N3/M3</f>
        <v>15.146115466856733</v>
      </c>
      <c r="T3" s="32">
        <f>(E3+(E3*Config!$B$17*Config!$B$16))/R3</f>
        <v>32</v>
      </c>
      <c r="U3" s="33">
        <f t="shared" ref="U3:U12" si="4">T3/S3</f>
        <v>2.1127529411764709</v>
      </c>
      <c r="V3" s="27" t="str">
        <f>IF(U3&gt;=Config!$B$4, "평이함", IF(U3&lt;=Config!$B$5, "공략불가(매우어려움)", "매우어려움(컨트롤요구)"))</f>
        <v>평이함</v>
      </c>
    </row>
    <row r="4" spans="1:22" ht="24" customHeight="1">
      <c r="A4" s="34" t="s">
        <v>159</v>
      </c>
      <c r="B4" s="35" t="s">
        <v>161</v>
      </c>
      <c r="C4" s="36">
        <v>1</v>
      </c>
      <c r="D4" s="36" t="s">
        <v>69</v>
      </c>
      <c r="E4" s="37">
        <f>VLOOKUP(C4, Character_Growth!$A$3:$F$22, 2, FALSE)</f>
        <v>100</v>
      </c>
      <c r="F4" s="38">
        <f>VLOOKUP(C4, Character_Growth!$A$3:$F$22, 3, FALSE)</f>
        <v>10</v>
      </c>
      <c r="G4" s="39">
        <f>VLOOKUP(C4, Character_Growth!$A$3:$F$22, 4, FALSE)</f>
        <v>1</v>
      </c>
      <c r="H4" s="38">
        <f>VLOOKUP(D4, Weapon_Specs!$A$3:$J$7, 3, FALSE)</f>
        <v>8</v>
      </c>
      <c r="I4" s="39">
        <f>VLOOKUP(D4, Weapon_Specs!$A$3:$J$7, 4, FALSE)</f>
        <v>0.05</v>
      </c>
      <c r="J4" s="36"/>
      <c r="K4" s="38">
        <f t="shared" si="0"/>
        <v>18</v>
      </c>
      <c r="L4" s="39">
        <f t="shared" si="1"/>
        <v>1.05</v>
      </c>
      <c r="M4" s="40">
        <f>K4*L4*2</f>
        <v>37.800000000000004</v>
      </c>
      <c r="N4" s="37">
        <f>Boss_Specs!$C$3</f>
        <v>1700</v>
      </c>
      <c r="O4" s="38">
        <f>Boss_Specs!$D$3</f>
        <v>13</v>
      </c>
      <c r="P4" s="36"/>
      <c r="Q4" s="39">
        <f>Boss_Specs!$E$3</f>
        <v>1</v>
      </c>
      <c r="R4" s="40">
        <f t="shared" si="2"/>
        <v>13</v>
      </c>
      <c r="S4" s="41">
        <f t="shared" si="3"/>
        <v>44.973544973544968</v>
      </c>
      <c r="T4" s="41">
        <f>(E4+(E4*Config!$B$17*0))/R4</f>
        <v>7.6923076923076925</v>
      </c>
      <c r="U4" s="42">
        <f t="shared" si="4"/>
        <v>0.17104072398190048</v>
      </c>
      <c r="V4" s="36" t="str">
        <f>IF(U4&gt;=Config!$B$4, "평이함", IF(U4&lt;=Config!$B$5, "공략불가(매우어려움)", "매우어려움(컨트롤요구)"))</f>
        <v>공략불가(매우어려움)</v>
      </c>
    </row>
    <row r="5" spans="1:22" ht="24" customHeight="1">
      <c r="A5" s="25" t="s">
        <v>162</v>
      </c>
      <c r="B5" s="26" t="s">
        <v>160</v>
      </c>
      <c r="C5" s="27">
        <v>10</v>
      </c>
      <c r="D5" s="27" t="s">
        <v>75</v>
      </c>
      <c r="E5" s="28">
        <f>VLOOKUP(C5, Character_Growth!$A$3:$F$22, 2, FALSE)</f>
        <v>460</v>
      </c>
      <c r="F5" s="29">
        <f>VLOOKUP(C5, Character_Growth!$A$3:$F$22, 3, FALSE)</f>
        <v>37</v>
      </c>
      <c r="G5" s="30">
        <f>VLOOKUP(C5, Character_Growth!$A$3:$F$22, 4, FALSE)</f>
        <v>1.27</v>
      </c>
      <c r="H5" s="29">
        <f>VLOOKUP(D5, Weapon_Specs!$A$3:$J$7, 3, FALSE)</f>
        <v>56</v>
      </c>
      <c r="I5" s="30">
        <f>VLOOKUP(D5, Weapon_Specs!$A$3:$J$7, 4, FALSE)</f>
        <v>0.15</v>
      </c>
      <c r="J5" s="27">
        <f>Config!$B$11</f>
        <v>30</v>
      </c>
      <c r="K5" s="29">
        <f t="shared" si="0"/>
        <v>93</v>
      </c>
      <c r="L5" s="30">
        <f t="shared" si="1"/>
        <v>1.42</v>
      </c>
      <c r="M5" s="31">
        <f>K5*L5*2</f>
        <v>264.12</v>
      </c>
      <c r="N5" s="28">
        <f>Boss_Specs!$C$4</f>
        <v>4000</v>
      </c>
      <c r="O5" s="29">
        <f>Boss_Specs!$D$4</f>
        <v>20.9</v>
      </c>
      <c r="P5" s="27">
        <f>Config!$B$12</f>
        <v>20</v>
      </c>
      <c r="Q5" s="30">
        <f>Boss_Specs!$E$4</f>
        <v>1.1000000000000001</v>
      </c>
      <c r="R5" s="31">
        <f t="shared" si="2"/>
        <v>22.990000000000002</v>
      </c>
      <c r="S5" s="32">
        <f t="shared" si="3"/>
        <v>15.144631228229592</v>
      </c>
      <c r="T5" s="32">
        <f>(E5+(E5*Config!$B$18*Config!$B$16))/R5</f>
        <v>44.019138755980855</v>
      </c>
      <c r="U5" s="33">
        <f t="shared" si="4"/>
        <v>2.9065837320574159</v>
      </c>
      <c r="V5" s="27" t="str">
        <f>IF(U5&gt;=Config!$B$4, "평이함", IF(U5&lt;=Config!$B$5, "공략불가(매우어려움)", "매우어려움(컨트롤요구)"))</f>
        <v>평이함</v>
      </c>
    </row>
    <row r="6" spans="1:22" ht="24" customHeight="1">
      <c r="A6" s="34" t="s">
        <v>162</v>
      </c>
      <c r="B6" s="35" t="s">
        <v>161</v>
      </c>
      <c r="C6" s="36">
        <v>6</v>
      </c>
      <c r="D6" s="36" t="s">
        <v>73</v>
      </c>
      <c r="E6" s="37">
        <f>VLOOKUP(C6, Character_Growth!$A$3:$F$22, 2, FALSE)</f>
        <v>300</v>
      </c>
      <c r="F6" s="38">
        <f>VLOOKUP(C6, Character_Growth!$A$3:$F$22, 3, FALSE)</f>
        <v>25</v>
      </c>
      <c r="G6" s="39">
        <f>VLOOKUP(C6, Character_Growth!$A$3:$F$22, 4, FALSE)</f>
        <v>1.1499999999999999</v>
      </c>
      <c r="H6" s="38">
        <f>VLOOKUP(D6, Weapon_Specs!$A$3:$J$7, 3, FALSE)</f>
        <v>24</v>
      </c>
      <c r="I6" s="39">
        <f>VLOOKUP(D6, Weapon_Specs!$A$3:$J$7, 4, FALSE)</f>
        <v>0.1</v>
      </c>
      <c r="J6" s="36"/>
      <c r="K6" s="38">
        <f t="shared" si="0"/>
        <v>49</v>
      </c>
      <c r="L6" s="39">
        <f t="shared" si="1"/>
        <v>1.25</v>
      </c>
      <c r="M6" s="40">
        <f>K6*L6*2</f>
        <v>122.5</v>
      </c>
      <c r="N6" s="37">
        <f>Boss_Specs!$C$4</f>
        <v>4000</v>
      </c>
      <c r="O6" s="38">
        <f>Boss_Specs!$D$4</f>
        <v>20.9</v>
      </c>
      <c r="P6" s="36"/>
      <c r="Q6" s="39">
        <f>Boss_Specs!$E$4</f>
        <v>1.1000000000000001</v>
      </c>
      <c r="R6" s="40">
        <f t="shared" si="2"/>
        <v>22.990000000000002</v>
      </c>
      <c r="S6" s="41">
        <f t="shared" si="3"/>
        <v>32.653061224489797</v>
      </c>
      <c r="T6" s="41">
        <f>(E6+(E6*Config!$B$18*0))/R6</f>
        <v>13.049151805132665</v>
      </c>
      <c r="U6" s="42">
        <f t="shared" si="4"/>
        <v>0.39963027403218787</v>
      </c>
      <c r="V6" s="36" t="str">
        <f>IF(U6&gt;=Config!$B$4, "평이함", IF(U6&lt;=Config!$B$5, "공략불가(매우어려움)", "매우어려움(컨트롤요구)"))</f>
        <v>매우어려움(컨트롤요구)</v>
      </c>
    </row>
    <row r="7" spans="1:22" ht="24" customHeight="1">
      <c r="A7" s="25" t="s">
        <v>163</v>
      </c>
      <c r="B7" s="26" t="s">
        <v>160</v>
      </c>
      <c r="C7" s="27">
        <v>15</v>
      </c>
      <c r="D7" s="27" t="s">
        <v>77</v>
      </c>
      <c r="E7" s="28">
        <f>VLOOKUP(C7, Character_Growth!$A$3:$F$22, 2, FALSE)</f>
        <v>660</v>
      </c>
      <c r="F7" s="29">
        <f>VLOOKUP(C7, Character_Growth!$A$3:$F$22, 3, FALSE)</f>
        <v>52</v>
      </c>
      <c r="G7" s="30">
        <f>VLOOKUP(C7, Character_Growth!$A$3:$F$22, 4, FALSE)</f>
        <v>1.42</v>
      </c>
      <c r="H7" s="29">
        <f>VLOOKUP(D7, Weapon_Specs!$A$3:$J$7, 3, FALSE)</f>
        <v>120</v>
      </c>
      <c r="I7" s="30">
        <f>VLOOKUP(D7, Weapon_Specs!$A$3:$J$7, 4, FALSE)</f>
        <v>0.2</v>
      </c>
      <c r="J7" s="27">
        <f>Config!$B$11</f>
        <v>30</v>
      </c>
      <c r="K7" s="29">
        <f t="shared" si="0"/>
        <v>172</v>
      </c>
      <c r="L7" s="30">
        <f t="shared" si="1"/>
        <v>1.6199999999999999</v>
      </c>
      <c r="M7" s="31">
        <f>K7*L7*2</f>
        <v>557.28</v>
      </c>
      <c r="N7" s="28">
        <f>Boss_Specs!$C$5</f>
        <v>8400</v>
      </c>
      <c r="O7" s="29">
        <f>Boss_Specs!$D$5</f>
        <v>27.5</v>
      </c>
      <c r="P7" s="27">
        <f>Config!$B$12</f>
        <v>20</v>
      </c>
      <c r="Q7" s="30">
        <f>Boss_Specs!$E$5</f>
        <v>1.2</v>
      </c>
      <c r="R7" s="31">
        <f t="shared" si="2"/>
        <v>33</v>
      </c>
      <c r="S7" s="32">
        <f t="shared" si="3"/>
        <v>15.073212747631352</v>
      </c>
      <c r="T7" s="32">
        <f>(E7+(E7*Config!$B$19*Config!$B$16))/R7</f>
        <v>56</v>
      </c>
      <c r="U7" s="33">
        <f t="shared" si="4"/>
        <v>3.7151999999999998</v>
      </c>
      <c r="V7" s="27" t="str">
        <f>IF(U7&gt;=Config!$B$4, "평이함", IF(U7&lt;=Config!$B$5, "공략불가(매우어려움)", "매우어려움(컨트롤요구)"))</f>
        <v>평이함</v>
      </c>
    </row>
    <row r="8" spans="1:22" ht="24" customHeight="1">
      <c r="A8" s="43" t="s">
        <v>163</v>
      </c>
      <c r="B8" s="44" t="s">
        <v>164</v>
      </c>
      <c r="C8" s="45">
        <v>15</v>
      </c>
      <c r="D8" s="45" t="s">
        <v>75</v>
      </c>
      <c r="E8" s="46">
        <f>VLOOKUP(C8, Character_Growth!$A$3:$F$22, 2, FALSE)</f>
        <v>660</v>
      </c>
      <c r="F8" s="47">
        <f>VLOOKUP(C8, Character_Growth!$A$3:$F$22, 3, FALSE)</f>
        <v>52</v>
      </c>
      <c r="G8" s="48">
        <f>VLOOKUP(C8, Character_Growth!$A$3:$F$22, 4, FALSE)</f>
        <v>1.42</v>
      </c>
      <c r="H8" s="47">
        <f>VLOOKUP(D8, Weapon_Specs!$A$3:$J$7, 3, FALSE)</f>
        <v>56</v>
      </c>
      <c r="I8" s="48">
        <f>VLOOKUP(D8, Weapon_Specs!$A$3:$J$7, 4, FALSE)</f>
        <v>0.15</v>
      </c>
      <c r="J8" s="45"/>
      <c r="K8" s="47">
        <f t="shared" si="0"/>
        <v>108</v>
      </c>
      <c r="L8" s="48">
        <f t="shared" si="1"/>
        <v>1.5699999999999998</v>
      </c>
      <c r="M8" s="49">
        <f>K8*L8*2</f>
        <v>339.11999999999995</v>
      </c>
      <c r="N8" s="46">
        <f>Boss_Specs!$C$5</f>
        <v>8400</v>
      </c>
      <c r="O8" s="47">
        <f>Boss_Specs!$D$5</f>
        <v>27.5</v>
      </c>
      <c r="P8" s="45"/>
      <c r="Q8" s="48">
        <f>Boss_Specs!$E$5</f>
        <v>1.2</v>
      </c>
      <c r="R8" s="49">
        <f t="shared" si="2"/>
        <v>33</v>
      </c>
      <c r="S8" s="50">
        <f t="shared" si="3"/>
        <v>24.769992922859167</v>
      </c>
      <c r="T8" s="50">
        <f>(E8+(E8*Config!$B$19*Config!$B$16))/R8</f>
        <v>56</v>
      </c>
      <c r="U8" s="51">
        <f t="shared" si="4"/>
        <v>2.2607999999999997</v>
      </c>
      <c r="V8" s="45" t="str">
        <f>IF(U8&gt;=Config!$B$4, "평이함", IF(U8&lt;=Config!$B$5, "공략불가(매우어려움)", "매우어려움(컨트롤요구)"))</f>
        <v>평이함</v>
      </c>
    </row>
    <row r="9" spans="1:22" ht="24" customHeight="1">
      <c r="A9" s="34" t="s">
        <v>163</v>
      </c>
      <c r="B9" s="35" t="s">
        <v>161</v>
      </c>
      <c r="C9" s="36">
        <v>11</v>
      </c>
      <c r="D9" s="36" t="s">
        <v>75</v>
      </c>
      <c r="E9" s="37">
        <f>VLOOKUP(C9, Character_Growth!$A$3:$F$22, 2, FALSE)</f>
        <v>500</v>
      </c>
      <c r="F9" s="38">
        <f>VLOOKUP(C9, Character_Growth!$A$3:$F$22, 3, FALSE)</f>
        <v>40</v>
      </c>
      <c r="G9" s="39">
        <f>VLOOKUP(C9, Character_Growth!$A$3:$F$22, 4, FALSE)</f>
        <v>1.3</v>
      </c>
      <c r="H9" s="38">
        <f>VLOOKUP(D9, Weapon_Specs!$A$3:$J$7, 3, FALSE)</f>
        <v>56</v>
      </c>
      <c r="I9" s="39">
        <f>VLOOKUP(D9, Weapon_Specs!$A$3:$J$7, 4, FALSE)</f>
        <v>0.15</v>
      </c>
      <c r="J9" s="36"/>
      <c r="K9" s="38">
        <f t="shared" si="0"/>
        <v>96</v>
      </c>
      <c r="L9" s="39">
        <f t="shared" si="1"/>
        <v>1.45</v>
      </c>
      <c r="M9" s="40">
        <f>K9*L9*2</f>
        <v>278.39999999999998</v>
      </c>
      <c r="N9" s="37">
        <f>Boss_Specs!$C$5</f>
        <v>8400</v>
      </c>
      <c r="O9" s="38">
        <f>Boss_Specs!$D$5</f>
        <v>27.5</v>
      </c>
      <c r="P9" s="36"/>
      <c r="Q9" s="39">
        <f>Boss_Specs!$E$5</f>
        <v>1.2</v>
      </c>
      <c r="R9" s="40">
        <f t="shared" si="2"/>
        <v>33</v>
      </c>
      <c r="S9" s="41">
        <f t="shared" si="3"/>
        <v>30.172413793103452</v>
      </c>
      <c r="T9" s="41">
        <f>(E9+(E9*Config!$B$19*0))/R9</f>
        <v>15.151515151515152</v>
      </c>
      <c r="U9" s="42">
        <f t="shared" si="4"/>
        <v>0.50216450216450215</v>
      </c>
      <c r="V9" s="36" t="str">
        <f>IF(U9&gt;=Config!$B$4, "평이함", IF(U9&lt;=Config!$B$5, "공략불가(매우어려움)", "매우어려움(컨트롤요구)"))</f>
        <v>매우어려움(컨트롤요구)</v>
      </c>
    </row>
    <row r="10" spans="1:22" ht="24" customHeight="1">
      <c r="A10" s="25" t="s">
        <v>165</v>
      </c>
      <c r="B10" s="26" t="s">
        <v>160</v>
      </c>
      <c r="C10" s="27">
        <v>20</v>
      </c>
      <c r="D10" s="27" t="s">
        <v>81</v>
      </c>
      <c r="E10" s="28">
        <f>VLOOKUP(C10, Character_Growth!$A$3:$F$22, 2, FALSE)</f>
        <v>860</v>
      </c>
      <c r="F10" s="29">
        <f>VLOOKUP(C10, Character_Growth!$A$3:$F$22, 3, FALSE)</f>
        <v>67</v>
      </c>
      <c r="G10" s="30">
        <f>VLOOKUP(C10, Character_Growth!$A$3:$F$22, 4, FALSE)</f>
        <v>1.5699999999999998</v>
      </c>
      <c r="H10" s="29">
        <f>VLOOKUP(D10, Weapon_Specs!$A$3:$J$7, 3, FALSE)</f>
        <v>250</v>
      </c>
      <c r="I10" s="30">
        <f>VLOOKUP(D10, Weapon_Specs!$A$3:$J$7, 4, FALSE)</f>
        <v>0.3</v>
      </c>
      <c r="J10" s="27">
        <f>Config!$B$11</f>
        <v>30</v>
      </c>
      <c r="K10" s="29">
        <f t="shared" si="0"/>
        <v>317</v>
      </c>
      <c r="L10" s="30">
        <f t="shared" si="1"/>
        <v>1.8699999999999999</v>
      </c>
      <c r="M10" s="31">
        <f>K10*L10*2</f>
        <v>1185.58</v>
      </c>
      <c r="N10" s="28">
        <f>Boss_Specs!$C$6</f>
        <v>17800</v>
      </c>
      <c r="O10" s="29">
        <f>Boss_Specs!$D$6</f>
        <v>33.1</v>
      </c>
      <c r="P10" s="27">
        <f>Config!$B$12</f>
        <v>20</v>
      </c>
      <c r="Q10" s="30">
        <f>Boss_Specs!$E$6</f>
        <v>1.3</v>
      </c>
      <c r="R10" s="31">
        <f t="shared" si="2"/>
        <v>43.03</v>
      </c>
      <c r="S10" s="32">
        <f t="shared" si="3"/>
        <v>15.013748545015943</v>
      </c>
      <c r="T10" s="32">
        <f>(E10+(E10*Config!$B$19*Config!$B$16))/R10</f>
        <v>55.960957471531486</v>
      </c>
      <c r="U10" s="33">
        <f t="shared" si="4"/>
        <v>3.727314155005522</v>
      </c>
      <c r="V10" s="27" t="str">
        <f>IF(U10&gt;=Config!$B$4, "평이함", IF(U10&lt;=Config!$B$5, "공략불가(매우어려움)", "매우어려움(컨트롤요구)"))</f>
        <v>평이함</v>
      </c>
    </row>
    <row r="11" spans="1:22" ht="24" customHeight="1">
      <c r="A11" s="43" t="s">
        <v>165</v>
      </c>
      <c r="B11" s="44" t="s">
        <v>164</v>
      </c>
      <c r="C11" s="45">
        <v>20</v>
      </c>
      <c r="D11" s="45" t="s">
        <v>77</v>
      </c>
      <c r="E11" s="46">
        <f>VLOOKUP(C11, Character_Growth!$A$3:$F$22, 2, FALSE)</f>
        <v>860</v>
      </c>
      <c r="F11" s="47">
        <f>VLOOKUP(C11, Character_Growth!$A$3:$F$22, 3, FALSE)</f>
        <v>67</v>
      </c>
      <c r="G11" s="48">
        <f>VLOOKUP(C11, Character_Growth!$A$3:$F$22, 4, FALSE)</f>
        <v>1.5699999999999998</v>
      </c>
      <c r="H11" s="47">
        <f>VLOOKUP(D11, Weapon_Specs!$A$3:$J$7, 3, FALSE)</f>
        <v>120</v>
      </c>
      <c r="I11" s="48">
        <f>VLOOKUP(D11, Weapon_Specs!$A$3:$J$7, 4, FALSE)</f>
        <v>0.2</v>
      </c>
      <c r="J11" s="45"/>
      <c r="K11" s="47">
        <f t="shared" si="0"/>
        <v>187</v>
      </c>
      <c r="L11" s="48">
        <f t="shared" si="1"/>
        <v>1.7699999999999998</v>
      </c>
      <c r="M11" s="49">
        <f>K11*L11*2</f>
        <v>661.9799999999999</v>
      </c>
      <c r="N11" s="46">
        <f>Boss_Specs!$C$6</f>
        <v>17800</v>
      </c>
      <c r="O11" s="47">
        <f>Boss_Specs!$D$6</f>
        <v>33.1</v>
      </c>
      <c r="P11" s="45"/>
      <c r="Q11" s="48">
        <f>Boss_Specs!$E$6</f>
        <v>1.3</v>
      </c>
      <c r="R11" s="49">
        <f t="shared" si="2"/>
        <v>43.03</v>
      </c>
      <c r="S11" s="50">
        <f t="shared" si="3"/>
        <v>26.889029880056803</v>
      </c>
      <c r="T11" s="50">
        <f>(E11+(E11*Config!$B$19*Config!$B$16))/R11</f>
        <v>55.960957471531486</v>
      </c>
      <c r="U11" s="51">
        <f t="shared" si="4"/>
        <v>2.081181720618225</v>
      </c>
      <c r="V11" s="45" t="str">
        <f>IF(U11&gt;=Config!$B$4, "평이함", IF(U11&lt;=Config!$B$5, "공략불가(매우어려움)", "매우어려움(컨트롤요구)"))</f>
        <v>평이함</v>
      </c>
    </row>
    <row r="12" spans="1:22" ht="24" customHeight="1">
      <c r="A12" s="34" t="s">
        <v>165</v>
      </c>
      <c r="B12" s="35" t="s">
        <v>161</v>
      </c>
      <c r="C12" s="36">
        <v>16</v>
      </c>
      <c r="D12" s="36" t="s">
        <v>77</v>
      </c>
      <c r="E12" s="37">
        <f>VLOOKUP(C12, Character_Growth!$A$3:$F$22, 2, FALSE)</f>
        <v>700</v>
      </c>
      <c r="F12" s="38">
        <f>VLOOKUP(C12, Character_Growth!$A$3:$F$22, 3, FALSE)</f>
        <v>55</v>
      </c>
      <c r="G12" s="39">
        <f>VLOOKUP(C12, Character_Growth!$A$3:$F$22, 4, FALSE)</f>
        <v>1.45</v>
      </c>
      <c r="H12" s="38">
        <f>VLOOKUP(D12, Weapon_Specs!$A$3:$J$7, 3, FALSE)</f>
        <v>120</v>
      </c>
      <c r="I12" s="39">
        <f>VLOOKUP(D12, Weapon_Specs!$A$3:$J$7, 4, FALSE)</f>
        <v>0.2</v>
      </c>
      <c r="J12" s="36"/>
      <c r="K12" s="38">
        <f t="shared" si="0"/>
        <v>175</v>
      </c>
      <c r="L12" s="39">
        <f t="shared" si="1"/>
        <v>1.65</v>
      </c>
      <c r="M12" s="40">
        <f>K12*L12*2</f>
        <v>577.5</v>
      </c>
      <c r="N12" s="37">
        <f>Boss_Specs!$C$6</f>
        <v>17800</v>
      </c>
      <c r="O12" s="38">
        <f>Boss_Specs!$D$6</f>
        <v>33.1</v>
      </c>
      <c r="P12" s="36"/>
      <c r="Q12" s="39">
        <f>Boss_Specs!$E$6</f>
        <v>1.3</v>
      </c>
      <c r="R12" s="40">
        <f t="shared" si="2"/>
        <v>43.03</v>
      </c>
      <c r="S12" s="41">
        <f t="shared" si="3"/>
        <v>30.822510822510822</v>
      </c>
      <c r="T12" s="41">
        <f>(E12+(E12*Config!$B$19*0))/R12</f>
        <v>16.267720195212643</v>
      </c>
      <c r="U12" s="42">
        <f t="shared" si="4"/>
        <v>0.5277869894795113</v>
      </c>
      <c r="V12" s="36" t="str">
        <f>IF(U12&gt;=Config!$B$4, "평이함", IF(U12&lt;=Config!$B$5, "공략불가(매우어려움)", "매우어려움(컨트롤요구)"))</f>
        <v>매우어려움(컨트롤요구)</v>
      </c>
    </row>
  </sheetData>
  <mergeCells count="1">
    <mergeCell ref="A1:S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Config</vt:lpstr>
      <vt:lpstr>Character_Growth</vt:lpstr>
      <vt:lpstr>Weapon_Specs</vt:lpstr>
      <vt:lpstr>Dungeon_Monster_Specs</vt:lpstr>
      <vt:lpstr>Boss_Specs</vt:lpstr>
      <vt:lpstr>Combat_Simulation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김관희</cp:lastModifiedBy>
  <dcterms:created xsi:type="dcterms:W3CDTF">2026-07-06T10:24:05Z</dcterms:created>
  <dcterms:modified xsi:type="dcterms:W3CDTF">2026-07-06T10:47:00Z</dcterms:modified>
</cp:coreProperties>
</file>